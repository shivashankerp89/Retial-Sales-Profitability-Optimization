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8402c2a8b556a70/Projects DA/Sales profitability optimization/Clean Data/"/>
    </mc:Choice>
  </mc:AlternateContent>
  <xr:revisionPtr revIDLastSave="750" documentId="8_{7E55857F-D6FD-4B76-9397-3886D536A04C}" xr6:coauthVersionLast="47" xr6:coauthVersionMax="47" xr10:uidLastSave="{F86E369B-535E-42C2-8876-525DDFA01B83}"/>
  <bookViews>
    <workbookView xWindow="-110" yWindow="-110" windowWidth="19420" windowHeight="10300" firstSheet="1" activeTab="1" xr2:uid="{00000000-000D-0000-FFFF-FFFF00000000}"/>
  </bookViews>
  <sheets>
    <sheet name="📋 README" sheetId="1" r:id="rId1"/>
    <sheet name="Sales_transactions" sheetId="8" r:id="rId2"/>
    <sheet name="Customer_Master" sheetId="5" r:id="rId3"/>
    <sheet name="Product_Master" sheetId="4" r:id="rId4"/>
    <sheet name="Store_Master" sheetId="3" r:id="rId5"/>
    <sheet name="Monthly_Profitability" sheetId="6" r:id="rId6"/>
    <sheet name="Sheet1" sheetId="7" r:id="rId7"/>
  </sheets>
  <definedNames>
    <definedName name="_xlnm._FilterDatabase" localSheetId="2" hidden="1">Customer_Master!$A$1:$Q$151</definedName>
    <definedName name="_xlnm._FilterDatabase" localSheetId="5" hidden="1">Monthly_Profitability!$A$1:$L$361</definedName>
    <definedName name="_xlnm._FilterDatabase" localSheetId="3" hidden="1">Product_Master!$A$1:$M$50</definedName>
    <definedName name="_xlnm._FilterDatabase" localSheetId="1" hidden="1">Sales_transactions!$C$1:$C$301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8" l="1" a="1"/>
  <c r="J2" i="8" s="1"/>
  <c r="J3" i="8" a="1"/>
  <c r="J3" i="8" s="1"/>
  <c r="J4" i="8" a="1"/>
  <c r="J4" i="8" s="1"/>
  <c r="J5" i="8" a="1"/>
  <c r="J5" i="8" s="1"/>
  <c r="J6" i="8" a="1"/>
  <c r="J6" i="8" s="1"/>
  <c r="J7" i="8" a="1"/>
  <c r="J7" i="8" s="1"/>
  <c r="J8" i="8" a="1"/>
  <c r="J8" i="8" s="1"/>
  <c r="J9" i="8" a="1"/>
  <c r="J9" i="8" s="1"/>
  <c r="J10" i="8" a="1"/>
  <c r="J10" i="8" s="1"/>
  <c r="J11" i="8" a="1"/>
  <c r="J11" i="8" s="1"/>
  <c r="J12" i="8" a="1"/>
  <c r="J12" i="8" s="1"/>
  <c r="J13" i="8" a="1"/>
  <c r="J13" i="8" s="1"/>
  <c r="J14" i="8" a="1"/>
  <c r="J14" i="8" s="1"/>
  <c r="J15" i="8" a="1"/>
  <c r="J15" i="8" s="1"/>
  <c r="J16" i="8" a="1"/>
  <c r="J16" i="8" s="1"/>
  <c r="J17" i="8" a="1"/>
  <c r="J17" i="8" s="1"/>
  <c r="J18" i="8" a="1"/>
  <c r="J18" i="8" s="1"/>
  <c r="J19" i="8" a="1"/>
  <c r="J19" i="8" s="1"/>
  <c r="J20" i="8" a="1"/>
  <c r="J20" i="8" s="1"/>
  <c r="J21" i="8" a="1"/>
  <c r="J21" i="8" s="1"/>
  <c r="J22" i="8" a="1"/>
  <c r="J22" i="8" s="1"/>
  <c r="J23" i="8" a="1"/>
  <c r="J23" i="8" s="1"/>
  <c r="J24" i="8" a="1"/>
  <c r="J24" i="8" s="1"/>
  <c r="J25" i="8" a="1"/>
  <c r="J25" i="8" s="1"/>
  <c r="J26" i="8" a="1"/>
  <c r="J26" i="8" s="1"/>
  <c r="J27" i="8" a="1"/>
  <c r="J27" i="8" s="1"/>
  <c r="J28" i="8" a="1"/>
  <c r="J28" i="8" s="1"/>
  <c r="J29" i="8" a="1"/>
  <c r="J29" i="8" s="1"/>
  <c r="J30" i="8" a="1"/>
  <c r="J30" i="8"/>
  <c r="J31" i="8" a="1"/>
  <c r="J31" i="8" s="1"/>
  <c r="J32" i="8" a="1"/>
  <c r="J32" i="8" s="1"/>
  <c r="J33" i="8" a="1"/>
  <c r="J33" i="8" s="1"/>
  <c r="J34" i="8" a="1"/>
  <c r="J34" i="8" s="1"/>
  <c r="J35" i="8" a="1"/>
  <c r="J35" i="8" s="1"/>
  <c r="J36" i="8" a="1"/>
  <c r="J36" i="8" s="1"/>
  <c r="J37" i="8" a="1"/>
  <c r="J37" i="8" s="1"/>
  <c r="J38" i="8" a="1"/>
  <c r="J38" i="8" s="1"/>
  <c r="J39" i="8" a="1"/>
  <c r="J39" i="8" s="1"/>
  <c r="J40" i="8" a="1"/>
  <c r="J40" i="8" s="1"/>
  <c r="J42" i="8" a="1"/>
  <c r="J42" i="8" s="1"/>
  <c r="J43" i="8" a="1"/>
  <c r="J43" i="8" s="1"/>
  <c r="J44" i="8" a="1"/>
  <c r="J44" i="8" s="1"/>
  <c r="J45" i="8" a="1"/>
  <c r="J45" i="8" s="1"/>
  <c r="J46" i="8" a="1"/>
  <c r="J46" i="8"/>
  <c r="J47" i="8" a="1"/>
  <c r="J47" i="8" s="1"/>
  <c r="J48" i="8" a="1"/>
  <c r="J48" i="8" s="1"/>
  <c r="J49" i="8" a="1"/>
  <c r="J49" i="8" s="1"/>
  <c r="J50" i="8" a="1"/>
  <c r="J50" i="8" s="1"/>
  <c r="J51" i="8" a="1"/>
  <c r="J51" i="8" s="1"/>
  <c r="J52" i="8" a="1"/>
  <c r="J52" i="8" s="1"/>
  <c r="J53" i="8" a="1"/>
  <c r="J53" i="8"/>
  <c r="J54" i="8" a="1"/>
  <c r="J54" i="8"/>
  <c r="J55" i="8" a="1"/>
  <c r="J55" i="8" s="1"/>
  <c r="J56" i="8" a="1"/>
  <c r="J56" i="8" s="1"/>
  <c r="J57" i="8" a="1"/>
  <c r="J57" i="8" s="1"/>
  <c r="J58" i="8" a="1"/>
  <c r="J58" i="8" s="1"/>
  <c r="J59" i="8" a="1"/>
  <c r="J59" i="8" s="1"/>
  <c r="J60" i="8" a="1"/>
  <c r="J60" i="8" s="1"/>
  <c r="J61" i="8" a="1"/>
  <c r="J61" i="8" s="1"/>
  <c r="J62" i="8" a="1"/>
  <c r="J62" i="8" s="1"/>
  <c r="J63" i="8" a="1"/>
  <c r="J63" i="8"/>
  <c r="J64" i="8" a="1"/>
  <c r="J64" i="8" s="1"/>
  <c r="J65" i="8" a="1"/>
  <c r="J65" i="8" s="1"/>
  <c r="J66" i="8" a="1"/>
  <c r="J66" i="8" s="1"/>
  <c r="J67" i="8" a="1"/>
  <c r="J67" i="8" s="1"/>
  <c r="J68" i="8" a="1"/>
  <c r="J68" i="8" s="1"/>
  <c r="J69" i="8" a="1"/>
  <c r="J69" i="8" s="1"/>
  <c r="J70" i="8" a="1"/>
  <c r="J70" i="8" s="1"/>
  <c r="J71" i="8" a="1"/>
  <c r="J71" i="8"/>
  <c r="J72" i="8" a="1"/>
  <c r="J72" i="8" s="1"/>
  <c r="J73" i="8" a="1"/>
  <c r="J73" i="8" s="1"/>
  <c r="J74" i="8" a="1"/>
  <c r="J74" i="8" s="1"/>
  <c r="J75" i="8" a="1"/>
  <c r="J75" i="8"/>
  <c r="J76" i="8" a="1"/>
  <c r="J76" i="8" s="1"/>
  <c r="J77" i="8" a="1"/>
  <c r="J77" i="8" s="1"/>
  <c r="J78" i="8" a="1"/>
  <c r="J78" i="8" s="1"/>
  <c r="J79" i="8" a="1"/>
  <c r="J79" i="8" s="1"/>
  <c r="J80" i="8" a="1"/>
  <c r="J80" i="8" s="1"/>
  <c r="J81" i="8" a="1"/>
  <c r="J81" i="8" s="1"/>
  <c r="J82" i="8" a="1"/>
  <c r="J82" i="8"/>
  <c r="J83" i="8" a="1"/>
  <c r="J83" i="8" s="1"/>
  <c r="J84" i="8" a="1"/>
  <c r="J84" i="8" s="1"/>
  <c r="J85" i="8" a="1"/>
  <c r="J85" i="8" s="1"/>
  <c r="J86" i="8" a="1"/>
  <c r="J86" i="8" s="1"/>
  <c r="J87" i="8" a="1"/>
  <c r="J87" i="8" s="1"/>
  <c r="J88" i="8" a="1"/>
  <c r="J88" i="8" s="1"/>
  <c r="J89" i="8" a="1"/>
  <c r="J89" i="8" s="1"/>
  <c r="J90" i="8" a="1"/>
  <c r="J90" i="8" s="1"/>
  <c r="J91" i="8" a="1"/>
  <c r="J91" i="8" s="1"/>
  <c r="J92" i="8" a="1"/>
  <c r="J92" i="8" s="1"/>
  <c r="J93" i="8" a="1"/>
  <c r="J93" i="8" s="1"/>
  <c r="J94" i="8" a="1"/>
  <c r="J94" i="8" s="1"/>
  <c r="J95" i="8" a="1"/>
  <c r="J95" i="8" s="1"/>
  <c r="J96" i="8" a="1"/>
  <c r="J96" i="8" s="1"/>
  <c r="J97" i="8" a="1"/>
  <c r="J97" i="8" s="1"/>
  <c r="J98" i="8" a="1"/>
  <c r="J98" i="8" s="1"/>
  <c r="J99" i="8" a="1"/>
  <c r="J99" i="8"/>
  <c r="J100" i="8" a="1"/>
  <c r="J100" i="8" s="1"/>
  <c r="J101" i="8" a="1"/>
  <c r="J101" i="8" s="1"/>
  <c r="J102" i="8" a="1"/>
  <c r="J102" i="8" s="1"/>
  <c r="J103" i="8" a="1"/>
  <c r="J103" i="8" s="1"/>
  <c r="J104" i="8" a="1"/>
  <c r="J104" i="8" s="1"/>
  <c r="J105" i="8" a="1"/>
  <c r="J105" i="8" s="1"/>
  <c r="J106" i="8" a="1"/>
  <c r="J106" i="8"/>
  <c r="J107" i="8" a="1"/>
  <c r="J107" i="8"/>
  <c r="I108" i="8"/>
  <c r="J109" i="8" a="1"/>
  <c r="J109" i="8" s="1"/>
  <c r="J110" i="8" a="1"/>
  <c r="J110" i="8" s="1"/>
  <c r="J111" i="8" a="1"/>
  <c r="J111" i="8" s="1"/>
  <c r="J112" i="8" a="1"/>
  <c r="J112" i="8" s="1"/>
  <c r="J113" i="8" a="1"/>
  <c r="J113" i="8" s="1"/>
  <c r="J114" i="8" a="1"/>
  <c r="J114" i="8" s="1"/>
  <c r="J115" i="8" a="1"/>
  <c r="J115" i="8" s="1"/>
  <c r="J116" i="8" a="1"/>
  <c r="J116" i="8"/>
  <c r="J117" i="8" a="1"/>
  <c r="J117" i="8" s="1"/>
  <c r="J118" i="8" a="1"/>
  <c r="J118" i="8" s="1"/>
  <c r="J119" i="8" a="1"/>
  <c r="J119" i="8" s="1"/>
  <c r="J120" i="8" a="1"/>
  <c r="J120" i="8" s="1"/>
  <c r="J121" i="8" a="1"/>
  <c r="J121" i="8" s="1"/>
  <c r="J122" i="8" a="1"/>
  <c r="J122" i="8" s="1"/>
  <c r="J123" i="8" a="1"/>
  <c r="J123" i="8" s="1"/>
  <c r="J124" i="8" a="1"/>
  <c r="J124" i="8" s="1"/>
  <c r="J125" i="8" a="1"/>
  <c r="J125" i="8" s="1"/>
  <c r="J126" i="8" a="1"/>
  <c r="J126" i="8" s="1"/>
  <c r="J127" i="8" a="1"/>
  <c r="J127" i="8" s="1"/>
  <c r="J128" i="8" a="1"/>
  <c r="J128" i="8" s="1"/>
  <c r="J129" i="8" a="1"/>
  <c r="J129" i="8" s="1"/>
  <c r="J130" i="8" a="1"/>
  <c r="J130" i="8" s="1"/>
  <c r="J131" i="8" a="1"/>
  <c r="J131" i="8" s="1"/>
  <c r="J132" i="8" a="1"/>
  <c r="J132" i="8" s="1"/>
  <c r="J133" i="8" a="1"/>
  <c r="J133" i="8" s="1"/>
  <c r="J134" i="8" a="1"/>
  <c r="J134" i="8" s="1"/>
  <c r="J135" i="8" a="1"/>
  <c r="J135" i="8" s="1"/>
  <c r="J136" i="8" a="1"/>
  <c r="J136" i="8"/>
  <c r="J137" i="8" a="1"/>
  <c r="J137" i="8" s="1"/>
  <c r="J138" i="8" a="1"/>
  <c r="J138" i="8" s="1"/>
  <c r="J139" i="8" a="1"/>
  <c r="J139" i="8"/>
  <c r="J140" i="8" a="1"/>
  <c r="J140" i="8" s="1"/>
  <c r="J141" i="8" a="1"/>
  <c r="J141" i="8" s="1"/>
  <c r="J142" i="8" a="1"/>
  <c r="J142" i="8" s="1"/>
  <c r="J143" i="8" a="1"/>
  <c r="J143" i="8" s="1"/>
  <c r="J144" i="8" a="1"/>
  <c r="J144" i="8" s="1"/>
  <c r="J145" i="8" a="1"/>
  <c r="J145" i="8" s="1"/>
  <c r="J146" i="8" a="1"/>
  <c r="J146" i="8" s="1"/>
  <c r="J147" i="8" a="1"/>
  <c r="J147" i="8" s="1"/>
  <c r="J148" i="8" a="1"/>
  <c r="J148" i="8" s="1"/>
  <c r="J149" i="8" a="1"/>
  <c r="J149" i="8" s="1"/>
  <c r="J150" i="8" a="1"/>
  <c r="J150" i="8"/>
  <c r="J151" i="8" a="1"/>
  <c r="J151" i="8" s="1"/>
  <c r="J152" i="8" a="1"/>
  <c r="J152" i="8" s="1"/>
  <c r="J153" i="8" a="1"/>
  <c r="J153" i="8" s="1"/>
  <c r="J154" i="8" a="1"/>
  <c r="J154" i="8" s="1"/>
  <c r="J155" i="8" a="1"/>
  <c r="J155" i="8" s="1"/>
  <c r="J156" i="8" a="1"/>
  <c r="J156" i="8" s="1"/>
  <c r="J157" i="8" a="1"/>
  <c r="J157" i="8" s="1"/>
  <c r="J158" i="8" a="1"/>
  <c r="J158" i="8" s="1"/>
  <c r="J160" i="8" a="1"/>
  <c r="J160" i="8" s="1"/>
  <c r="J161" i="8" a="1"/>
  <c r="J161" i="8"/>
  <c r="J162" i="8" a="1"/>
  <c r="J162" i="8" s="1"/>
  <c r="J163" i="8" a="1"/>
  <c r="J163" i="8" s="1"/>
  <c r="J164" i="8" a="1"/>
  <c r="J164" i="8" s="1"/>
  <c r="J165" i="8" a="1"/>
  <c r="J165" i="8" s="1"/>
  <c r="J166" i="8" a="1"/>
  <c r="J166" i="8" s="1"/>
  <c r="J167" i="8" a="1"/>
  <c r="J167" i="8" s="1"/>
  <c r="J168" i="8" a="1"/>
  <c r="J168" i="8" s="1"/>
  <c r="J169" i="8" a="1"/>
  <c r="J169" i="8" s="1"/>
  <c r="J170" i="8" a="1"/>
  <c r="J170" i="8"/>
  <c r="J171" i="8" a="1"/>
  <c r="J171" i="8"/>
  <c r="J172" i="8" a="1"/>
  <c r="J172" i="8" s="1"/>
  <c r="J173" i="8" a="1"/>
  <c r="J173" i="8" s="1"/>
  <c r="J174" i="8" a="1"/>
  <c r="J174" i="8" s="1"/>
  <c r="J175" i="8" a="1"/>
  <c r="J175" i="8" s="1"/>
  <c r="J176" i="8" a="1"/>
  <c r="J176" i="8" s="1"/>
  <c r="J177" i="8" a="1"/>
  <c r="J177" i="8" s="1"/>
  <c r="J178" i="8" a="1"/>
  <c r="J178" i="8" s="1"/>
  <c r="J179" i="8" a="1"/>
  <c r="J179" i="8" s="1"/>
  <c r="J180" i="8" a="1"/>
  <c r="J180" i="8" s="1"/>
  <c r="J181" i="8" a="1"/>
  <c r="J181" i="8" s="1"/>
  <c r="J182" i="8" a="1"/>
  <c r="J182" i="8"/>
  <c r="J183" i="8" a="1"/>
  <c r="J183" i="8" s="1"/>
  <c r="J184" i="8" a="1"/>
  <c r="J184" i="8" s="1"/>
  <c r="J185" i="8" a="1"/>
  <c r="J185" i="8" s="1"/>
  <c r="J186" i="8" a="1"/>
  <c r="J186" i="8" s="1"/>
  <c r="J187" i="8" a="1"/>
  <c r="J187" i="8" s="1"/>
  <c r="J188" i="8" a="1"/>
  <c r="J188" i="8" s="1"/>
  <c r="J189" i="8" a="1"/>
  <c r="J189" i="8"/>
  <c r="J190" i="8" a="1"/>
  <c r="J190" i="8"/>
  <c r="J191" i="8" a="1"/>
  <c r="J191" i="8" s="1"/>
  <c r="J192" i="8" a="1"/>
  <c r="J192" i="8" s="1"/>
  <c r="J193" i="8" a="1"/>
  <c r="J193" i="8" s="1"/>
  <c r="J194" i="8" a="1"/>
  <c r="J194" i="8" s="1"/>
  <c r="J195" i="8" a="1"/>
  <c r="J195" i="8" s="1"/>
  <c r="J196" i="8" a="1"/>
  <c r="J196" i="8"/>
  <c r="J197" i="8" a="1"/>
  <c r="J197" i="8" s="1"/>
  <c r="J198" i="8" a="1"/>
  <c r="J198" i="8" s="1"/>
  <c r="J199" i="8" a="1"/>
  <c r="J199" i="8" s="1"/>
  <c r="J200" i="8" a="1"/>
  <c r="J200" i="8" s="1"/>
  <c r="J201" i="8" a="1"/>
  <c r="J201" i="8" s="1"/>
  <c r="J202" i="8" a="1"/>
  <c r="J202" i="8" s="1"/>
  <c r="J203" i="8" a="1"/>
  <c r="J203" i="8" s="1"/>
  <c r="J204" i="8" a="1"/>
  <c r="J204" i="8" s="1"/>
  <c r="J205" i="8" a="1"/>
  <c r="J205" i="8" s="1"/>
  <c r="J206" i="8" a="1"/>
  <c r="J206" i="8" s="1"/>
  <c r="J207" i="8" a="1"/>
  <c r="J207" i="8" s="1"/>
  <c r="J208" i="8" a="1"/>
  <c r="J208" i="8" s="1"/>
  <c r="J209" i="8" a="1"/>
  <c r="J209" i="8" s="1"/>
  <c r="J210" i="8" a="1"/>
  <c r="J210" i="8" s="1"/>
  <c r="J211" i="8" a="1"/>
  <c r="J211" i="8" s="1"/>
  <c r="J212" i="8" a="1"/>
  <c r="J212" i="8" s="1"/>
  <c r="J213" i="8" a="1"/>
  <c r="J213" i="8"/>
  <c r="I214" i="8"/>
  <c r="I159" i="8" s="1"/>
  <c r="J159" i="8" s="1" a="1"/>
  <c r="J159" i="8" s="1"/>
  <c r="J215" i="8" a="1"/>
  <c r="J215" i="8" s="1"/>
  <c r="J216" i="8" a="1"/>
  <c r="J216" i="8" s="1"/>
  <c r="J217" i="8" a="1"/>
  <c r="J217" i="8" s="1"/>
  <c r="J218" i="8" a="1"/>
  <c r="J218" i="8" s="1"/>
  <c r="J219" i="8" a="1"/>
  <c r="J219" i="8" s="1"/>
  <c r="J220" i="8" a="1"/>
  <c r="J220" i="8" s="1"/>
  <c r="J221" i="8" a="1"/>
  <c r="J221" i="8" s="1"/>
  <c r="J222" i="8" a="1"/>
  <c r="J222" i="8" s="1"/>
  <c r="J223" i="8" a="1"/>
  <c r="J223" i="8"/>
  <c r="J224" i="8" a="1"/>
  <c r="J224" i="8" s="1"/>
  <c r="J225" i="8" a="1"/>
  <c r="J225" i="8" s="1"/>
  <c r="J226" i="8" a="1"/>
  <c r="J226" i="8" s="1"/>
  <c r="J227" i="8" a="1"/>
  <c r="J227" i="8" s="1"/>
  <c r="J228" i="8" a="1"/>
  <c r="J228" i="8" s="1"/>
  <c r="J229" i="8" a="1"/>
  <c r="J229" i="8" s="1"/>
  <c r="J230" i="8" a="1"/>
  <c r="J230" i="8" s="1"/>
  <c r="J231" i="8" a="1"/>
  <c r="J231" i="8" s="1"/>
  <c r="J232" i="8" a="1"/>
  <c r="J232" i="8"/>
  <c r="J233" i="8" a="1"/>
  <c r="J233" i="8" s="1"/>
  <c r="J234" i="8" a="1"/>
  <c r="J234" i="8" s="1"/>
  <c r="J235" i="8" a="1"/>
  <c r="J235" i="8" s="1"/>
  <c r="J236" i="8" a="1"/>
  <c r="J236" i="8" s="1"/>
  <c r="J237" i="8" a="1"/>
  <c r="J237" i="8" s="1"/>
  <c r="J238" i="8" a="1"/>
  <c r="J238" i="8" s="1"/>
  <c r="J239" i="8" a="1"/>
  <c r="J239" i="8"/>
  <c r="J240" i="8" a="1"/>
  <c r="J240" i="8" s="1"/>
  <c r="J241" i="8" a="1"/>
  <c r="J241" i="8" s="1"/>
  <c r="J242" i="8" a="1"/>
  <c r="J242" i="8" s="1"/>
  <c r="J243" i="8" a="1"/>
  <c r="J243" i="8"/>
  <c r="J244" i="8" a="1"/>
  <c r="J244" i="8" s="1"/>
  <c r="J245" i="8" a="1"/>
  <c r="J245" i="8" s="1"/>
  <c r="J246" i="8" a="1"/>
  <c r="J246" i="8" s="1"/>
  <c r="J247" i="8" a="1"/>
  <c r="J247" i="8" s="1"/>
  <c r="J248" i="8" a="1"/>
  <c r="J248" i="8" s="1"/>
  <c r="J249" i="8" a="1"/>
  <c r="J249" i="8"/>
  <c r="J250" i="8" a="1"/>
  <c r="J250" i="8" s="1"/>
  <c r="J251" i="8" a="1"/>
  <c r="J251" i="8"/>
  <c r="J252" i="8" a="1"/>
  <c r="J252" i="8" s="1"/>
  <c r="J253" i="8" a="1"/>
  <c r="J253" i="8" s="1"/>
  <c r="J254" i="8" a="1"/>
  <c r="J254" i="8" s="1"/>
  <c r="J255" i="8" a="1"/>
  <c r="J255" i="8" s="1"/>
  <c r="J256" i="8" a="1"/>
  <c r="J256" i="8" s="1"/>
  <c r="J257" i="8" a="1"/>
  <c r="J257" i="8" s="1"/>
  <c r="J258" i="8" a="1"/>
  <c r="J258" i="8" s="1"/>
  <c r="J259" i="8" a="1"/>
  <c r="J259" i="8" s="1"/>
  <c r="J260" i="8" a="1"/>
  <c r="J260" i="8" s="1"/>
  <c r="J261" i="8" a="1"/>
  <c r="J261" i="8"/>
  <c r="J262" i="8" a="1"/>
  <c r="J262" i="8" s="1"/>
  <c r="J263" i="8" a="1"/>
  <c r="J263" i="8"/>
  <c r="J264" i="8" a="1"/>
  <c r="J264" i="8" s="1"/>
  <c r="J265" i="8" a="1"/>
  <c r="J265" i="8" s="1"/>
  <c r="J266" i="8" a="1"/>
  <c r="J266" i="8" s="1"/>
  <c r="J267" i="8" a="1"/>
  <c r="J267" i="8" s="1"/>
  <c r="J268" i="8" a="1"/>
  <c r="J268" i="8" s="1"/>
  <c r="J269" i="8" a="1"/>
  <c r="J269" i="8" s="1"/>
  <c r="J270" i="8" a="1"/>
  <c r="J270" i="8"/>
  <c r="J271" i="8" a="1"/>
  <c r="J271" i="8" s="1"/>
  <c r="J272" i="8" a="1"/>
  <c r="J272" i="8" s="1"/>
  <c r="J273" i="8" a="1"/>
  <c r="J273" i="8" s="1"/>
  <c r="J274" i="8" a="1"/>
  <c r="J274" i="8" s="1"/>
  <c r="J275" i="8" a="1"/>
  <c r="J275" i="8" s="1"/>
  <c r="J276" i="8" a="1"/>
  <c r="J276" i="8" s="1"/>
  <c r="J277" i="8" a="1"/>
  <c r="J277" i="8" s="1"/>
  <c r="J278" i="8" a="1"/>
  <c r="J278" i="8" s="1"/>
  <c r="J279" i="8" a="1"/>
  <c r="J279" i="8"/>
  <c r="J280" i="8" a="1"/>
  <c r="J280" i="8"/>
  <c r="J281" i="8" a="1"/>
  <c r="J281" i="8" s="1"/>
  <c r="J282" i="8" a="1"/>
  <c r="J282" i="8" s="1"/>
  <c r="J283" i="8" a="1"/>
  <c r="J283" i="8" s="1"/>
  <c r="J284" i="8" a="1"/>
  <c r="J284" i="8" s="1"/>
  <c r="J285" i="8" a="1"/>
  <c r="J285" i="8" s="1"/>
  <c r="J286" i="8" a="1"/>
  <c r="J286" i="8" s="1"/>
  <c r="J287" i="8" a="1"/>
  <c r="J287" i="8"/>
  <c r="J288" i="8" a="1"/>
  <c r="J288" i="8" s="1"/>
  <c r="J289" i="8" a="1"/>
  <c r="J289" i="8" s="1"/>
  <c r="J290" i="8" a="1"/>
  <c r="J290" i="8" s="1"/>
  <c r="J291" i="8" a="1"/>
  <c r="J291" i="8" s="1"/>
  <c r="J292" i="8" a="1"/>
  <c r="J292" i="8" s="1"/>
  <c r="J293" i="8" a="1"/>
  <c r="J293" i="8" s="1"/>
  <c r="J294" i="8" a="1"/>
  <c r="J294" i="8" s="1"/>
  <c r="J295" i="8" a="1"/>
  <c r="J295" i="8" s="1"/>
  <c r="J296" i="8" a="1"/>
  <c r="J296" i="8" s="1"/>
  <c r="J297" i="8" a="1"/>
  <c r="J297" i="8"/>
  <c r="J298" i="8" a="1"/>
  <c r="J298" i="8" s="1"/>
  <c r="J299" i="8" a="1"/>
  <c r="J299" i="8"/>
  <c r="J300" i="8" a="1"/>
  <c r="J300" i="8" s="1"/>
  <c r="J301" i="8" a="1"/>
  <c r="J301" i="8" s="1"/>
  <c r="C344" i="6"/>
  <c r="C337" i="6"/>
  <c r="C310" i="6"/>
  <c r="C301" i="6"/>
  <c r="C258" i="6"/>
  <c r="C211" i="6"/>
  <c r="C111" i="6"/>
  <c r="C104" i="6"/>
  <c r="C83" i="6"/>
  <c r="C47" i="6"/>
  <c r="C6" i="6"/>
  <c r="H7" i="3"/>
  <c r="H3" i="4"/>
  <c r="H4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2" i="4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2" i="5"/>
  <c r="N133" i="5"/>
  <c r="N131" i="5"/>
  <c r="N130" i="5"/>
  <c r="H3" i="5"/>
  <c r="H9" i="5"/>
  <c r="H5" i="5"/>
  <c r="H6" i="5"/>
  <c r="H7" i="5"/>
  <c r="H8" i="5"/>
  <c r="H54" i="5"/>
  <c r="H24" i="5"/>
  <c r="H21" i="5"/>
  <c r="H149" i="5"/>
  <c r="H122" i="5"/>
  <c r="H14" i="5"/>
  <c r="H15" i="5"/>
  <c r="H16" i="5"/>
  <c r="H17" i="5"/>
  <c r="H68" i="5"/>
  <c r="H117" i="5"/>
  <c r="H75" i="5"/>
  <c r="H56" i="5"/>
  <c r="H22" i="5"/>
  <c r="H23" i="5"/>
  <c r="H129" i="5"/>
  <c r="H106" i="5"/>
  <c r="H26" i="5"/>
  <c r="H47" i="5"/>
  <c r="H28" i="5"/>
  <c r="H60" i="5"/>
  <c r="H30" i="5"/>
  <c r="H31" i="5"/>
  <c r="H58" i="5"/>
  <c r="H11" i="5"/>
  <c r="H34" i="5"/>
  <c r="H121" i="5"/>
  <c r="H19" i="5"/>
  <c r="H93" i="5"/>
  <c r="H43" i="5"/>
  <c r="H85" i="5"/>
  <c r="H40" i="5"/>
  <c r="H103" i="5"/>
  <c r="H13" i="5"/>
  <c r="H91" i="5"/>
  <c r="H44" i="5"/>
  <c r="H53" i="5"/>
  <c r="H46" i="5"/>
  <c r="H41" i="5"/>
  <c r="H48" i="5"/>
  <c r="H150" i="5"/>
  <c r="H50" i="5"/>
  <c r="H51" i="5"/>
  <c r="H130" i="5"/>
  <c r="H108" i="5"/>
  <c r="H61" i="5"/>
  <c r="H55" i="5"/>
  <c r="H115" i="5"/>
  <c r="H57" i="5"/>
  <c r="H92" i="5"/>
  <c r="H59" i="5"/>
  <c r="H96" i="5"/>
  <c r="H66" i="5"/>
  <c r="H62" i="5"/>
  <c r="H63" i="5"/>
  <c r="H132" i="5"/>
  <c r="H131" i="5"/>
  <c r="H119" i="5"/>
  <c r="H67" i="5"/>
  <c r="H52" i="5"/>
  <c r="H69" i="5"/>
  <c r="H70" i="5"/>
  <c r="H45" i="5"/>
  <c r="H72" i="5"/>
  <c r="H73" i="5"/>
  <c r="H74" i="5"/>
  <c r="H33" i="5"/>
  <c r="H76" i="5"/>
  <c r="H77" i="5"/>
  <c r="H78" i="5"/>
  <c r="H79" i="5"/>
  <c r="H35" i="5"/>
  <c r="H81" i="5"/>
  <c r="H82" i="5"/>
  <c r="H83" i="5"/>
  <c r="H84" i="5"/>
  <c r="H39" i="5"/>
  <c r="H86" i="5"/>
  <c r="H87" i="5"/>
  <c r="H142" i="5"/>
  <c r="H109" i="5"/>
  <c r="H124" i="5"/>
  <c r="H38" i="5"/>
  <c r="H80" i="5"/>
  <c r="H88" i="5"/>
  <c r="H94" i="5"/>
  <c r="H89" i="5"/>
  <c r="H100" i="5"/>
  <c r="H97" i="5"/>
  <c r="H98" i="5"/>
  <c r="H99" i="5"/>
  <c r="H64" i="5"/>
  <c r="H42" i="5"/>
  <c r="H102" i="5"/>
  <c r="H18" i="5"/>
  <c r="H37" i="5"/>
  <c r="H105" i="5"/>
  <c r="H104" i="5"/>
  <c r="H107" i="5"/>
  <c r="H25" i="5"/>
  <c r="H32" i="5"/>
  <c r="H110" i="5"/>
  <c r="H111" i="5"/>
  <c r="H112" i="5"/>
  <c r="H101" i="5"/>
  <c r="H114" i="5"/>
  <c r="H90" i="5"/>
  <c r="H27" i="5"/>
  <c r="H116" i="5"/>
  <c r="H118" i="5"/>
  <c r="H133" i="5"/>
  <c r="H120" i="5"/>
  <c r="H123" i="5"/>
  <c r="H71" i="5"/>
  <c r="H20" i="5"/>
  <c r="H65" i="5"/>
  <c r="H125" i="5"/>
  <c r="H126" i="5"/>
  <c r="H127" i="5"/>
  <c r="H128" i="5"/>
  <c r="H146" i="5"/>
  <c r="H139" i="5"/>
  <c r="H95" i="5"/>
  <c r="H113" i="5"/>
  <c r="H36" i="5"/>
  <c r="H10" i="5"/>
  <c r="H135" i="5"/>
  <c r="H136" i="5"/>
  <c r="H137" i="5"/>
  <c r="H138" i="5"/>
  <c r="H4" i="5"/>
  <c r="H140" i="5"/>
  <c r="H12" i="5"/>
  <c r="H134" i="5"/>
  <c r="H143" i="5"/>
  <c r="H144" i="5"/>
  <c r="H145" i="5"/>
  <c r="H49" i="5"/>
  <c r="H147" i="5"/>
  <c r="H148" i="5"/>
  <c r="H141" i="5"/>
  <c r="H29" i="5"/>
  <c r="H151" i="5"/>
  <c r="H2" i="5"/>
  <c r="N145" i="5"/>
  <c r="N7" i="5"/>
  <c r="E3" i="5"/>
  <c r="E9" i="5"/>
  <c r="E5" i="5"/>
  <c r="E6" i="5"/>
  <c r="E7" i="5"/>
  <c r="E8" i="5"/>
  <c r="E54" i="5"/>
  <c r="E24" i="5"/>
  <c r="E21" i="5"/>
  <c r="E149" i="5"/>
  <c r="E122" i="5"/>
  <c r="E14" i="5"/>
  <c r="E15" i="5"/>
  <c r="E16" i="5"/>
  <c r="E17" i="5"/>
  <c r="E68" i="5"/>
  <c r="E117" i="5"/>
  <c r="E75" i="5"/>
  <c r="E56" i="5"/>
  <c r="E22" i="5"/>
  <c r="E23" i="5"/>
  <c r="E129" i="5"/>
  <c r="E106" i="5"/>
  <c r="E26" i="5"/>
  <c r="E47" i="5"/>
  <c r="E28" i="5"/>
  <c r="E60" i="5"/>
  <c r="E30" i="5"/>
  <c r="E31" i="5"/>
  <c r="E58" i="5"/>
  <c r="E11" i="5"/>
  <c r="E34" i="5"/>
  <c r="E121" i="5"/>
  <c r="E19" i="5"/>
  <c r="E93" i="5"/>
  <c r="E43" i="5"/>
  <c r="E85" i="5"/>
  <c r="E40" i="5"/>
  <c r="E103" i="5"/>
  <c r="E13" i="5"/>
  <c r="E91" i="5"/>
  <c r="E44" i="5"/>
  <c r="E53" i="5"/>
  <c r="E46" i="5"/>
  <c r="E41" i="5"/>
  <c r="E48" i="5"/>
  <c r="E150" i="5"/>
  <c r="E50" i="5"/>
  <c r="E51" i="5"/>
  <c r="E130" i="5"/>
  <c r="E108" i="5"/>
  <c r="E61" i="5"/>
  <c r="E55" i="5"/>
  <c r="E115" i="5"/>
  <c r="E57" i="5"/>
  <c r="E92" i="5"/>
  <c r="E59" i="5"/>
  <c r="E96" i="5"/>
  <c r="E66" i="5"/>
  <c r="E62" i="5"/>
  <c r="E63" i="5"/>
  <c r="E132" i="5"/>
  <c r="E131" i="5"/>
  <c r="E119" i="5"/>
  <c r="E67" i="5"/>
  <c r="E52" i="5"/>
  <c r="E69" i="5"/>
  <c r="E70" i="5"/>
  <c r="E45" i="5"/>
  <c r="E72" i="5"/>
  <c r="E73" i="5"/>
  <c r="E74" i="5"/>
  <c r="E33" i="5"/>
  <c r="E76" i="5"/>
  <c r="E77" i="5"/>
  <c r="E78" i="5"/>
  <c r="E79" i="5"/>
  <c r="E35" i="5"/>
  <c r="E81" i="5"/>
  <c r="E82" i="5"/>
  <c r="E83" i="5"/>
  <c r="E84" i="5"/>
  <c r="E39" i="5"/>
  <c r="E86" i="5"/>
  <c r="E87" i="5"/>
  <c r="E142" i="5"/>
  <c r="E109" i="5"/>
  <c r="E124" i="5"/>
  <c r="E38" i="5"/>
  <c r="E80" i="5"/>
  <c r="E88" i="5"/>
  <c r="E94" i="5"/>
  <c r="E89" i="5"/>
  <c r="E100" i="5"/>
  <c r="E97" i="5"/>
  <c r="E98" i="5"/>
  <c r="E99" i="5"/>
  <c r="E64" i="5"/>
  <c r="E42" i="5"/>
  <c r="E102" i="5"/>
  <c r="E18" i="5"/>
  <c r="E37" i="5"/>
  <c r="E105" i="5"/>
  <c r="E104" i="5"/>
  <c r="E107" i="5"/>
  <c r="E25" i="5"/>
  <c r="E32" i="5"/>
  <c r="E110" i="5"/>
  <c r="E111" i="5"/>
  <c r="E112" i="5"/>
  <c r="E101" i="5"/>
  <c r="E114" i="5"/>
  <c r="E90" i="5"/>
  <c r="E27" i="5"/>
  <c r="E116" i="5"/>
  <c r="E118" i="5"/>
  <c r="E133" i="5"/>
  <c r="E120" i="5"/>
  <c r="E123" i="5"/>
  <c r="E71" i="5"/>
  <c r="E20" i="5"/>
  <c r="E65" i="5"/>
  <c r="E125" i="5"/>
  <c r="E126" i="5"/>
  <c r="E127" i="5"/>
  <c r="E128" i="5"/>
  <c r="E146" i="5"/>
  <c r="E139" i="5"/>
  <c r="E95" i="5"/>
  <c r="E113" i="5"/>
  <c r="E36" i="5"/>
  <c r="E10" i="5"/>
  <c r="E135" i="5"/>
  <c r="E136" i="5"/>
  <c r="E137" i="5"/>
  <c r="E138" i="5"/>
  <c r="E4" i="5"/>
  <c r="E140" i="5"/>
  <c r="E12" i="5"/>
  <c r="E134" i="5"/>
  <c r="E143" i="5"/>
  <c r="E144" i="5"/>
  <c r="E145" i="5"/>
  <c r="E49" i="5"/>
  <c r="E147" i="5"/>
  <c r="E148" i="5"/>
  <c r="E141" i="5"/>
  <c r="E29" i="5"/>
  <c r="E151" i="5"/>
  <c r="E2" i="5"/>
  <c r="I41" i="8" l="1"/>
  <c r="J41" i="8" s="1" a="1"/>
  <c r="J41" i="8" s="1"/>
  <c r="J214" i="8" a="1"/>
  <c r="J214" i="8" s="1"/>
  <c r="J108" i="8" a="1"/>
  <c r="J108" i="8" s="1"/>
  <c r="N139" i="5"/>
  <c r="N150" i="5" s="1"/>
  <c r="N149" i="5" l="1"/>
  <c r="H5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<sst xmlns="http://schemas.openxmlformats.org/spreadsheetml/2006/main" count="4702" uniqueCount="1284">
  <si>
    <t>RETAIL SALES DATABASE</t>
  </si>
  <si>
    <t/>
  </si>
  <si>
    <t>Generated On</t>
  </si>
  <si>
    <t>2026-04-10</t>
  </si>
  <si>
    <t>Domain</t>
  </si>
  <si>
    <t>Retail — Sales &amp; Profitability</t>
  </si>
  <si>
    <t>Period Covered</t>
  </si>
  <si>
    <t>Jan 2022 – Dec 2024</t>
  </si>
  <si>
    <t>── TABLE OVERVIEW ──</t>
  </si>
  <si>
    <t>Sales_Transactions</t>
  </si>
  <si>
    <t>308 rows | Raw transaction records with messy dates, nulls, duplicates, case issues</t>
  </si>
  <si>
    <t>Store_Master</t>
  </si>
  <si>
    <t>10 rows | Store info with inconsistent flags, nulls, invalid values</t>
  </si>
  <si>
    <t>Product_Master</t>
  </si>
  <si>
    <t>49 rows | Product catalog with cost &gt; MRP errors, nulls, case issues</t>
  </si>
  <si>
    <t>Customer_Master</t>
  </si>
  <si>
    <t>150 rows | Customer profiles with invalid emails, negative LTV, inconsistent gender</t>
  </si>
  <si>
    <t>Monthly_Profitability</t>
  </si>
  <si>
    <t>360 rows | Aggregated P&amp;L with missing revenue, flipped signs, &gt;100% margins</t>
  </si>
  <si>
    <t>── KEY DATA QUALITY ISSUES TO FIX ──</t>
  </si>
  <si>
    <t>Duplicates</t>
  </si>
  <si>
    <t>Sales_Transactions has ~8 duplicate rows</t>
  </si>
  <si>
    <t>Date Formats</t>
  </si>
  <si>
    <t>Sales_Transactions.Date has mixed formats (YYYY-MM-DD vs DD-MM-YYYY)</t>
  </si>
  <si>
    <t>Invalid Values</t>
  </si>
  <si>
    <t>Negative stock, negative LTV, qty=0 or negative, MRP &lt; Cost</t>
  </si>
  <si>
    <t>Missing Values (NULLs)</t>
  </si>
  <si>
    <t>Unit_Price, Customer_ID, Age, Revenue, Transactions_Count</t>
  </si>
  <si>
    <t>Inconsistent Codes</t>
  </si>
  <si>
    <t>Gender (M/F/Male/Female), Is_Active (Y/Yes/1/TRUE/Active)</t>
  </si>
  <si>
    <t>Case Inconsistencies</t>
  </si>
  <si>
    <t>Category, Sub_Category, Store_Name, City (trailing spaces too)</t>
  </si>
  <si>
    <t>Broken Emails</t>
  </si>
  <si>
    <t>Customer_Master has emails missing @</t>
  </si>
  <si>
    <t>Margin Errors</t>
  </si>
  <si>
    <t>Monthly_Profitability has Gross_Margin_Pct &gt; 100%</t>
  </si>
  <si>
    <t>── RELATIONSHIPS ──</t>
  </si>
  <si>
    <t>Sales → Store</t>
  </si>
  <si>
    <t>Sales_Transactions.Store_ID → Store_Master.Store_ID</t>
  </si>
  <si>
    <t>Sales → Product</t>
  </si>
  <si>
    <t>Sales_Transactions.Product_ID → Product_Master.Product_ID</t>
  </si>
  <si>
    <t>Sales → Customer</t>
  </si>
  <si>
    <t>Sales_Transactions.Customer_ID → Customer_Master.Customer_ID</t>
  </si>
  <si>
    <t>Profit → Store</t>
  </si>
  <si>
    <t>Monthly_Profitability.Store_ID → Store_Master.Store_ID</t>
  </si>
  <si>
    <t>Transaction_ID</t>
  </si>
  <si>
    <t>Customer_ID</t>
  </si>
  <si>
    <t>Store_ID</t>
  </si>
  <si>
    <t>Product_ID</t>
  </si>
  <si>
    <t>Product_Name</t>
  </si>
  <si>
    <t>Category</t>
  </si>
  <si>
    <t>Date</t>
  </si>
  <si>
    <t>Quantity</t>
  </si>
  <si>
    <t>Unit_Price</t>
  </si>
  <si>
    <t>Discount_Pct</t>
  </si>
  <si>
    <t>Cost_Per_Unit</t>
  </si>
  <si>
    <t>Payment_Method</t>
  </si>
  <si>
    <t>TXN00001</t>
  </si>
  <si>
    <t>CUST0074</t>
  </si>
  <si>
    <t>STR006</t>
  </si>
  <si>
    <t>PRD005</t>
  </si>
  <si>
    <t>Decathlon Cycle</t>
  </si>
  <si>
    <t>Sports</t>
  </si>
  <si>
    <t>Debit Card</t>
  </si>
  <si>
    <t>TXN00002</t>
  </si>
  <si>
    <t>CUST0036</t>
  </si>
  <si>
    <t>STR003</t>
  </si>
  <si>
    <t>PRD050</t>
  </si>
  <si>
    <t>Canon Camera</t>
  </si>
  <si>
    <t>Electronics</t>
  </si>
  <si>
    <t>Credit Card</t>
  </si>
  <si>
    <t>TXN00003</t>
  </si>
  <si>
    <t>CUST0048</t>
  </si>
  <si>
    <t>STR010</t>
  </si>
  <si>
    <t>PRD018</t>
  </si>
  <si>
    <t>Sony Headphones</t>
  </si>
  <si>
    <t>Cash</t>
  </si>
  <si>
    <t>TXN00004</t>
  </si>
  <si>
    <t>CUST0081</t>
  </si>
  <si>
    <t>PRD023</t>
  </si>
  <si>
    <t>Cosco Cricket Bat</t>
  </si>
  <si>
    <t>Net Banking</t>
  </si>
  <si>
    <t>TXN00005</t>
  </si>
  <si>
    <t>CUST0116</t>
  </si>
  <si>
    <t>STR002</t>
  </si>
  <si>
    <t>PRD042</t>
  </si>
  <si>
    <t>MDH Masala</t>
  </si>
  <si>
    <t>Grocery</t>
  </si>
  <si>
    <t>TXN00006</t>
  </si>
  <si>
    <t>CUST0014</t>
  </si>
  <si>
    <t>PRD033</t>
  </si>
  <si>
    <t>Zara Dress</t>
  </si>
  <si>
    <t>Apparel</t>
  </si>
  <si>
    <t>TXN00007</t>
  </si>
  <si>
    <t>CUST0092</t>
  </si>
  <si>
    <t>STR005</t>
  </si>
  <si>
    <t>PRD026</t>
  </si>
  <si>
    <t>Allen Solly Shirt</t>
  </si>
  <si>
    <t>UPI</t>
  </si>
  <si>
    <t>TXN00008</t>
  </si>
  <si>
    <t>CUST0003</t>
  </si>
  <si>
    <t>PRD044</t>
  </si>
  <si>
    <t>TXN00009</t>
  </si>
  <si>
    <t>CUST0125</t>
  </si>
  <si>
    <t>PRD035</t>
  </si>
  <si>
    <t>TXN00010</t>
  </si>
  <si>
    <t>CUST0035</t>
  </si>
  <si>
    <t>STR001</t>
  </si>
  <si>
    <t>PRD022</t>
  </si>
  <si>
    <t>iPhone 15</t>
  </si>
  <si>
    <t>TXN00011</t>
  </si>
  <si>
    <t>CUST0050</t>
  </si>
  <si>
    <t>PRD002</t>
  </si>
  <si>
    <t>Yonex Badminton</t>
  </si>
  <si>
    <t>TXN00012</t>
  </si>
  <si>
    <t>CUST0099</t>
  </si>
  <si>
    <t>PRD008</t>
  </si>
  <si>
    <t>SG Helmet</t>
  </si>
  <si>
    <t>TXN00013</t>
  </si>
  <si>
    <t>CUST0144</t>
  </si>
  <si>
    <t>STR007</t>
  </si>
  <si>
    <t>PRD017</t>
  </si>
  <si>
    <t>Nivea Moisturizer</t>
  </si>
  <si>
    <t>Beauty</t>
  </si>
  <si>
    <t>TXN00014</t>
  </si>
  <si>
    <t>CUST0130</t>
  </si>
  <si>
    <t>PRD012</t>
  </si>
  <si>
    <t>Dell Laptop</t>
  </si>
  <si>
    <t>TXN00015</t>
  </si>
  <si>
    <t>CUST0127</t>
  </si>
  <si>
    <t>STR004</t>
  </si>
  <si>
    <t>PRD038</t>
  </si>
  <si>
    <t>TXN00016</t>
  </si>
  <si>
    <t>CUST0105</t>
  </si>
  <si>
    <t>Havells Fan</t>
  </si>
  <si>
    <t>Home &amp; Garden</t>
  </si>
  <si>
    <t>TXN00017</t>
  </si>
  <si>
    <t>CUST0126</t>
  </si>
  <si>
    <t>PRD003</t>
  </si>
  <si>
    <t>TXN00018</t>
  </si>
  <si>
    <t>CUST0107</t>
  </si>
  <si>
    <t>PRD007</t>
  </si>
  <si>
    <t>OnePlus Watch</t>
  </si>
  <si>
    <t>TXN00019</t>
  </si>
  <si>
    <t>CUST0114</t>
  </si>
  <si>
    <t>PRD039</t>
  </si>
  <si>
    <t>iPad Air</t>
  </si>
  <si>
    <t>TXN00020</t>
  </si>
  <si>
    <t>PRD028</t>
  </si>
  <si>
    <t>Levi's Jeans</t>
  </si>
  <si>
    <t>TXN00021</t>
  </si>
  <si>
    <t>CUST0043</t>
  </si>
  <si>
    <t>Puma Shorts</t>
  </si>
  <si>
    <t>TXN00022</t>
  </si>
  <si>
    <t>CUST0022</t>
  </si>
  <si>
    <t>PRD047</t>
  </si>
  <si>
    <t>Revlon Lipstick</t>
  </si>
  <si>
    <t>TXN00023</t>
  </si>
  <si>
    <t>CUST0145</t>
  </si>
  <si>
    <t>PRD021</t>
  </si>
  <si>
    <t>TXN00024</t>
  </si>
  <si>
    <t>CUST0008</t>
  </si>
  <si>
    <t>TXN00025</t>
  </si>
  <si>
    <t>CUST0057</t>
  </si>
  <si>
    <t>Lakme Foundation</t>
  </si>
  <si>
    <t>TXN00026</t>
  </si>
  <si>
    <t>CUST0075</t>
  </si>
  <si>
    <t>STR009</t>
  </si>
  <si>
    <t>TXN00027</t>
  </si>
  <si>
    <t>TXN00028</t>
  </si>
  <si>
    <t>CUST0071</t>
  </si>
  <si>
    <t>PRD025</t>
  </si>
  <si>
    <t>Adidas Football</t>
  </si>
  <si>
    <t>TXN00029</t>
  </si>
  <si>
    <t>CUST0058</t>
  </si>
  <si>
    <t>PRD037</t>
  </si>
  <si>
    <t>Kookaburra Ball</t>
  </si>
  <si>
    <t>TXN00030</t>
  </si>
  <si>
    <t>CUST0138</t>
  </si>
  <si>
    <t>PRD013</t>
  </si>
  <si>
    <t>Biotique Serum</t>
  </si>
  <si>
    <t>TXN00031</t>
  </si>
  <si>
    <t>Philips Mixer</t>
  </si>
  <si>
    <t>TXN00032</t>
  </si>
  <si>
    <t>CUST0044</t>
  </si>
  <si>
    <t>Nike T-Shirt</t>
  </si>
  <si>
    <t>CUST0118</t>
  </si>
  <si>
    <t>PRD046</t>
  </si>
  <si>
    <t>Prestige Cooker</t>
  </si>
  <si>
    <t>TXN00034</t>
  </si>
  <si>
    <t>STR008</t>
  </si>
  <si>
    <t>Himalaya Face Wash</t>
  </si>
  <si>
    <t>TXN00035</t>
  </si>
  <si>
    <t>PRD001</t>
  </si>
  <si>
    <t>Bournvita 1kg</t>
  </si>
  <si>
    <t>TXN00036</t>
  </si>
  <si>
    <t>PRD034</t>
  </si>
  <si>
    <t>Funskool Puzzle</t>
  </si>
  <si>
    <t>Toys</t>
  </si>
  <si>
    <t>TXN00037</t>
  </si>
  <si>
    <t>CUST0131</t>
  </si>
  <si>
    <t>Barbie Doll</t>
  </si>
  <si>
    <t>TXN00038</t>
  </si>
  <si>
    <t>CUST0029</t>
  </si>
  <si>
    <t>TXN00039</t>
  </si>
  <si>
    <t>CUST0147</t>
  </si>
  <si>
    <t>CUST0030</t>
  </si>
  <si>
    <t>PRD048</t>
  </si>
  <si>
    <t>Hot Wheels Set</t>
  </si>
  <si>
    <t>TXN00041</t>
  </si>
  <si>
    <t>CUST0069</t>
  </si>
  <si>
    <t>TXN00042</t>
  </si>
  <si>
    <t>CUST0140</t>
  </si>
  <si>
    <t>PRD043</t>
  </si>
  <si>
    <t>TXN00043</t>
  </si>
  <si>
    <t>CUST0094</t>
  </si>
  <si>
    <t>Kent Water Purifier</t>
  </si>
  <si>
    <t>TXN00044</t>
  </si>
  <si>
    <t>CUST0139</t>
  </si>
  <si>
    <t>PRD024</t>
  </si>
  <si>
    <t>Amul Butter 500g</t>
  </si>
  <si>
    <t>TXN00045</t>
  </si>
  <si>
    <t>CUST0011</t>
  </si>
  <si>
    <t>Aashirvaad Atta 10kg</t>
  </si>
  <si>
    <t>TXN00046</t>
  </si>
  <si>
    <t>CUST0113</t>
  </si>
  <si>
    <t>TXN00047</t>
  </si>
  <si>
    <t>TXN00048</t>
  </si>
  <si>
    <t>CUST0056</t>
  </si>
  <si>
    <t>Play-Doh Kit</t>
  </si>
  <si>
    <t>TXN00049</t>
  </si>
  <si>
    <t>CUST0109</t>
  </si>
  <si>
    <t>PRD040</t>
  </si>
  <si>
    <t>TXN00050</t>
  </si>
  <si>
    <t>CUST0027</t>
  </si>
  <si>
    <t>TXN00051</t>
  </si>
  <si>
    <t>CUST0064</t>
  </si>
  <si>
    <t>TXN00052</t>
  </si>
  <si>
    <t>CUST0077</t>
  </si>
  <si>
    <t>Pigeon Kettle</t>
  </si>
  <si>
    <t>TXN00053</t>
  </si>
  <si>
    <t>CUST0009</t>
  </si>
  <si>
    <t>TXN00054</t>
  </si>
  <si>
    <t>PRD020</t>
  </si>
  <si>
    <t>TXN00055</t>
  </si>
  <si>
    <t>CUST0068</t>
  </si>
  <si>
    <t>LEGO Classic</t>
  </si>
  <si>
    <t>TXN00056</t>
  </si>
  <si>
    <t>CUST0090</t>
  </si>
  <si>
    <t>TXN00057</t>
  </si>
  <si>
    <t>CUST0023</t>
  </si>
  <si>
    <t>TXN00058</t>
  </si>
  <si>
    <t>PRD027</t>
  </si>
  <si>
    <t>TXN00059</t>
  </si>
  <si>
    <t>CUST0031</t>
  </si>
  <si>
    <t>TXN00060</t>
  </si>
  <si>
    <t>CUST0061</t>
  </si>
  <si>
    <t>Samsung TV 55"</t>
  </si>
  <si>
    <t>TXN00061</t>
  </si>
  <si>
    <t>CUST0054</t>
  </si>
  <si>
    <t>PRD045</t>
  </si>
  <si>
    <t>Nivia Basketball</t>
  </si>
  <si>
    <t>TXN00062</t>
  </si>
  <si>
    <t>PRD019</t>
  </si>
  <si>
    <t>Home&amp;Garden</t>
  </si>
  <si>
    <t>TXN00063</t>
  </si>
  <si>
    <t>CUST0110</t>
  </si>
  <si>
    <t>PRD036</t>
  </si>
  <si>
    <t>TXN00064</t>
  </si>
  <si>
    <t>PRD009</t>
  </si>
  <si>
    <t>TXN00065</t>
  </si>
  <si>
    <t>TXN00066</t>
  </si>
  <si>
    <t>CUST0053</t>
  </si>
  <si>
    <t>TXN00067</t>
  </si>
  <si>
    <t>TXN00068</t>
  </si>
  <si>
    <t>CUST0016</t>
  </si>
  <si>
    <t>Tata Salt 1kg</t>
  </si>
  <si>
    <t>TXN00069</t>
  </si>
  <si>
    <t>CUST0146</t>
  </si>
  <si>
    <t>TXN00070</t>
  </si>
  <si>
    <t>TXN00071</t>
  </si>
  <si>
    <t>CUST0137</t>
  </si>
  <si>
    <t>TXN00072</t>
  </si>
  <si>
    <t>CUST0072</t>
  </si>
  <si>
    <t>TXN00073</t>
  </si>
  <si>
    <t>TXN00074</t>
  </si>
  <si>
    <t>TXN00075</t>
  </si>
  <si>
    <t>CUST0083</t>
  </si>
  <si>
    <t>TXN00076</t>
  </si>
  <si>
    <t>TXN00077</t>
  </si>
  <si>
    <t>TXN00078</t>
  </si>
  <si>
    <t>TXN00079</t>
  </si>
  <si>
    <t>TXN00080</t>
  </si>
  <si>
    <t>CUST0132</t>
  </si>
  <si>
    <t>PRD014</t>
  </si>
  <si>
    <t>TXN00081</t>
  </si>
  <si>
    <t>CUST0025</t>
  </si>
  <si>
    <t>Nerf Gun</t>
  </si>
  <si>
    <t>TXN00082</t>
  </si>
  <si>
    <t>Parle-G Biscuits</t>
  </si>
  <si>
    <t>TXN00083</t>
  </si>
  <si>
    <t>CUST0106</t>
  </si>
  <si>
    <t>TXN00084</t>
  </si>
  <si>
    <t>TXN00085</t>
  </si>
  <si>
    <t>TXN00086</t>
  </si>
  <si>
    <t>CUST0033</t>
  </si>
  <si>
    <t>PRD030</t>
  </si>
  <si>
    <t>TXN00087</t>
  </si>
  <si>
    <t>CUST0034</t>
  </si>
  <si>
    <t>PRD029</t>
  </si>
  <si>
    <t>TXN00088</t>
  </si>
  <si>
    <t>TXN00089</t>
  </si>
  <si>
    <t>CUST0038</t>
  </si>
  <si>
    <t>TXN00090</t>
  </si>
  <si>
    <t>Bajaj Iron</t>
  </si>
  <si>
    <t>TXN00091</t>
  </si>
  <si>
    <t>TXN00092</t>
  </si>
  <si>
    <t>CUST0101</t>
  </si>
  <si>
    <t>PRD031</t>
  </si>
  <si>
    <t>TXN00093</t>
  </si>
  <si>
    <t>TXN00094</t>
  </si>
  <si>
    <t>CUST0037</t>
  </si>
  <si>
    <t>PRD011</t>
  </si>
  <si>
    <t>TXN00095</t>
  </si>
  <si>
    <t>CUST0148</t>
  </si>
  <si>
    <t>Maggi Noodles</t>
  </si>
  <si>
    <t>TXN00096</t>
  </si>
  <si>
    <t>PRD006</t>
  </si>
  <si>
    <t>TXN00097</t>
  </si>
  <si>
    <t>TXN00098</t>
  </si>
  <si>
    <t>CUST0097</t>
  </si>
  <si>
    <t>TXN00099</t>
  </si>
  <si>
    <t>TXN00100</t>
  </si>
  <si>
    <t>CUST0020</t>
  </si>
  <si>
    <t>PRD041</t>
  </si>
  <si>
    <t>TXN00101</t>
  </si>
  <si>
    <t>CUST0024</t>
  </si>
  <si>
    <t>TXN00102</t>
  </si>
  <si>
    <t>CUST0104</t>
  </si>
  <si>
    <t>TXN00103</t>
  </si>
  <si>
    <t>TXN00104</t>
  </si>
  <si>
    <t>PRD049</t>
  </si>
  <si>
    <t>TXN00105</t>
  </si>
  <si>
    <t>CUST0095</t>
  </si>
  <si>
    <t>PRD016</t>
  </si>
  <si>
    <t>TXN00106</t>
  </si>
  <si>
    <t>CUST0117</t>
  </si>
  <si>
    <t>TXN00107</t>
  </si>
  <si>
    <t>TXN00108</t>
  </si>
  <si>
    <t>CUST0084</t>
  </si>
  <si>
    <t>PRD015</t>
  </si>
  <si>
    <t>TXN00109</t>
  </si>
  <si>
    <t>CUST0149</t>
  </si>
  <si>
    <t>TXN00110</t>
  </si>
  <si>
    <t>CUST0001</t>
  </si>
  <si>
    <t>PRD010</t>
  </si>
  <si>
    <t>H&amp;M Jacket</t>
  </si>
  <si>
    <t>TXN00111</t>
  </si>
  <si>
    <t>TXN00112</t>
  </si>
  <si>
    <t>TXN00113</t>
  </si>
  <si>
    <t>TXN00114</t>
  </si>
  <si>
    <t>CUST0017</t>
  </si>
  <si>
    <t>TXN00115</t>
  </si>
  <si>
    <t>TXN00116</t>
  </si>
  <si>
    <t>CUST0102</t>
  </si>
  <si>
    <t>TXN00117</t>
  </si>
  <si>
    <t>TXN00118</t>
  </si>
  <si>
    <t>TXN00119</t>
  </si>
  <si>
    <t>CUST0055</t>
  </si>
  <si>
    <t>TXN00120</t>
  </si>
  <si>
    <t>TXN00121</t>
  </si>
  <si>
    <t>TXN00122</t>
  </si>
  <si>
    <t>TXN00123</t>
  </si>
  <si>
    <t>CUST0073</t>
  </si>
  <si>
    <t>TXN00124</t>
  </si>
  <si>
    <t>CUST0087</t>
  </si>
  <si>
    <t>TXN00125</t>
  </si>
  <si>
    <t>CUST0141</t>
  </si>
  <si>
    <t>Rubiks Cube</t>
  </si>
  <si>
    <t>TXN00126</t>
  </si>
  <si>
    <t>PRD032</t>
  </si>
  <si>
    <t>TXN00127</t>
  </si>
  <si>
    <t>TXN00128</t>
  </si>
  <si>
    <t xml:space="preserve">grocery </t>
  </si>
  <si>
    <t>TXN00129</t>
  </si>
  <si>
    <t>Godrej Refrigerator</t>
  </si>
  <si>
    <t>TXN00130</t>
  </si>
  <si>
    <t>CUST0088</t>
  </si>
  <si>
    <t>TXN00131</t>
  </si>
  <si>
    <t>CUST0013</t>
  </si>
  <si>
    <t>TXN00132</t>
  </si>
  <si>
    <t>CUST0012</t>
  </si>
  <si>
    <t>TXN00133</t>
  </si>
  <si>
    <t>CUST0026</t>
  </si>
  <si>
    <t>TXN00134</t>
  </si>
  <si>
    <t>CUST0005</t>
  </si>
  <si>
    <t>TXN00136</t>
  </si>
  <si>
    <t>CUST0032</t>
  </si>
  <si>
    <t>Adidas Hoodie</t>
  </si>
  <si>
    <t>TXN00137</t>
  </si>
  <si>
    <t>CUST0041</t>
  </si>
  <si>
    <t>TXN00138</t>
  </si>
  <si>
    <t>TXN00139</t>
  </si>
  <si>
    <t>APPAREL</t>
  </si>
  <si>
    <t>TXN00141</t>
  </si>
  <si>
    <t>TXN00142</t>
  </si>
  <si>
    <t>CUST0052</t>
  </si>
  <si>
    <t>TXN00143</t>
  </si>
  <si>
    <t>PRD004</t>
  </si>
  <si>
    <t>TXN00144</t>
  </si>
  <si>
    <t>CUST0078</t>
  </si>
  <si>
    <t>TXN00145</t>
  </si>
  <si>
    <t>TXN00146</t>
  </si>
  <si>
    <t>TXN00147</t>
  </si>
  <si>
    <t>TXN00148</t>
  </si>
  <si>
    <t>CUST0093</t>
  </si>
  <si>
    <t>Dove Soap</t>
  </si>
  <si>
    <t>TXN00149</t>
  </si>
  <si>
    <t>CUST0065</t>
  </si>
  <si>
    <t>TXN00150</t>
  </si>
  <si>
    <t>TXN00151</t>
  </si>
  <si>
    <t>CUST0096</t>
  </si>
  <si>
    <t>TXN00152</t>
  </si>
  <si>
    <t>TXN00153</t>
  </si>
  <si>
    <t>TXN00154</t>
  </si>
  <si>
    <t>TXN00155</t>
  </si>
  <si>
    <t>CUST0079</t>
  </si>
  <si>
    <t>TXN00156</t>
  </si>
  <si>
    <t>CUST0060</t>
  </si>
  <si>
    <t>TXN00157</t>
  </si>
  <si>
    <t>TXN00158</t>
  </si>
  <si>
    <t>TXN00159</t>
  </si>
  <si>
    <t>TXN00160</t>
  </si>
  <si>
    <t>TXN00161</t>
  </si>
  <si>
    <t>TXN00162</t>
  </si>
  <si>
    <t>CUST0123</t>
  </si>
  <si>
    <t>TXN00163</t>
  </si>
  <si>
    <t>TXN00164</t>
  </si>
  <si>
    <t>TXN00165</t>
  </si>
  <si>
    <t>TXN00166</t>
  </si>
  <si>
    <t>CUST0133</t>
  </si>
  <si>
    <t>TXN00167</t>
  </si>
  <si>
    <t>TXN00168</t>
  </si>
  <si>
    <t>TXN00169</t>
  </si>
  <si>
    <t>TXN00170</t>
  </si>
  <si>
    <t>TXN00171</t>
  </si>
  <si>
    <t>TXN00173</t>
  </si>
  <si>
    <t>TXN00174</t>
  </si>
  <si>
    <t>TXN00175</t>
  </si>
  <si>
    <t>CUST0019</t>
  </si>
  <si>
    <t>TXN00176</t>
  </si>
  <si>
    <t>CUST0059</t>
  </si>
  <si>
    <t>TXN00177</t>
  </si>
  <si>
    <t>TXN00178</t>
  </si>
  <si>
    <t>TXN00179</t>
  </si>
  <si>
    <t>TXN00180</t>
  </si>
  <si>
    <t>TXN00181</t>
  </si>
  <si>
    <t>TXN00182</t>
  </si>
  <si>
    <t>TXN00183</t>
  </si>
  <si>
    <t>TXN00184</t>
  </si>
  <si>
    <t>CUST0098</t>
  </si>
  <si>
    <t>TXN00186</t>
  </si>
  <si>
    <t>LOreal Shampoo</t>
  </si>
  <si>
    <t>TXN00187</t>
  </si>
  <si>
    <t>TXN00188</t>
  </si>
  <si>
    <t>CUST0018</t>
  </si>
  <si>
    <t>TXN00189</t>
  </si>
  <si>
    <t>CUST0136</t>
  </si>
  <si>
    <t>TXN00190</t>
  </si>
  <si>
    <t>TXN00191</t>
  </si>
  <si>
    <t>electronics</t>
  </si>
  <si>
    <t>TXN00192</t>
  </si>
  <si>
    <t>TXN00193</t>
  </si>
  <si>
    <t>TXN00194</t>
  </si>
  <si>
    <t>TXN00195</t>
  </si>
  <si>
    <t>TXN00196</t>
  </si>
  <si>
    <t>CUST0039</t>
  </si>
  <si>
    <t>TXN00197</t>
  </si>
  <si>
    <t>TXN00198</t>
  </si>
  <si>
    <t>TXN00199</t>
  </si>
  <si>
    <t>TXN00200</t>
  </si>
  <si>
    <t>TXN00201</t>
  </si>
  <si>
    <t>TXN00202</t>
  </si>
  <si>
    <t>TXN00203</t>
  </si>
  <si>
    <t>TXN00204</t>
  </si>
  <si>
    <t>TXN00205</t>
  </si>
  <si>
    <t>TXN00206</t>
  </si>
  <si>
    <t>TXN00207</t>
  </si>
  <si>
    <t>TXN00208</t>
  </si>
  <si>
    <t>TXN00209</t>
  </si>
  <si>
    <t>TXN00210</t>
  </si>
  <si>
    <t>TXN00211</t>
  </si>
  <si>
    <t>TXN00212</t>
  </si>
  <si>
    <t>TXN00213</t>
  </si>
  <si>
    <t>CUST0142</t>
  </si>
  <si>
    <t>TXN00214</t>
  </si>
  <si>
    <t>TXN00215</t>
  </si>
  <si>
    <t>CUST0007</t>
  </si>
  <si>
    <t>TXN00216</t>
  </si>
  <si>
    <t>TXN00217</t>
  </si>
  <si>
    <t>TXN00218</t>
  </si>
  <si>
    <t>TXN00219</t>
  </si>
  <si>
    <t>CUST0049</t>
  </si>
  <si>
    <t>TXN00221</t>
  </si>
  <si>
    <t>TXN00222</t>
  </si>
  <si>
    <t>CUST0076</t>
  </si>
  <si>
    <t>TXN00223</t>
  </si>
  <si>
    <t>TXN00224</t>
  </si>
  <si>
    <t>CUST0062</t>
  </si>
  <si>
    <t>TXN00225</t>
  </si>
  <si>
    <t>TXN00226</t>
  </si>
  <si>
    <t>TXN00227</t>
  </si>
  <si>
    <t>TXN00228</t>
  </si>
  <si>
    <t>TXN00229</t>
  </si>
  <si>
    <t>CUST0128</t>
  </si>
  <si>
    <t>TXN00230</t>
  </si>
  <si>
    <t>TXN00231</t>
  </si>
  <si>
    <t>TXN00232</t>
  </si>
  <si>
    <t>CUST0004</t>
  </si>
  <si>
    <t>TXN00233</t>
  </si>
  <si>
    <t>CUST0082</t>
  </si>
  <si>
    <t>TXN00235</t>
  </si>
  <si>
    <t>TXN00236</t>
  </si>
  <si>
    <t>CUST0100</t>
  </si>
  <si>
    <t>TXN00237</t>
  </si>
  <si>
    <t>TXN00238</t>
  </si>
  <si>
    <t>CUST0108</t>
  </si>
  <si>
    <t>TXN00239</t>
  </si>
  <si>
    <t>TXN00240</t>
  </si>
  <si>
    <t>TXN00241</t>
  </si>
  <si>
    <t>CUST0045</t>
  </si>
  <si>
    <t>TXN00242</t>
  </si>
  <si>
    <t>CUST0121</t>
  </si>
  <si>
    <t>TXN00243</t>
  </si>
  <si>
    <t>TXN00244</t>
  </si>
  <si>
    <t>TXN00245</t>
  </si>
  <si>
    <t>TXN00246</t>
  </si>
  <si>
    <t>TXN00247</t>
  </si>
  <si>
    <t>TXN00248</t>
  </si>
  <si>
    <t>TXN00249</t>
  </si>
  <si>
    <t>TXN00250</t>
  </si>
  <si>
    <t>TXN00251</t>
  </si>
  <si>
    <t>TXN00252</t>
  </si>
  <si>
    <t>TXN00253</t>
  </si>
  <si>
    <t>TXN00254</t>
  </si>
  <si>
    <t>CUST0129</t>
  </si>
  <si>
    <t>TXN00256</t>
  </si>
  <si>
    <t>TXN00257</t>
  </si>
  <si>
    <t>CUST0103</t>
  </si>
  <si>
    <t>TXN00258</t>
  </si>
  <si>
    <t>TXN00259</t>
  </si>
  <si>
    <t>TXN00260</t>
  </si>
  <si>
    <t>TXN00261</t>
  </si>
  <si>
    <t>CUST0040</t>
  </si>
  <si>
    <t>TXN00263</t>
  </si>
  <si>
    <t>TXN00264</t>
  </si>
  <si>
    <t>CUST0080</t>
  </si>
  <si>
    <t>TXN00265</t>
  </si>
  <si>
    <t>TXN00266</t>
  </si>
  <si>
    <t>TXN00267</t>
  </si>
  <si>
    <t>TXN00268</t>
  </si>
  <si>
    <t>TXN00270</t>
  </si>
  <si>
    <t>TXN00271</t>
  </si>
  <si>
    <t>TXN00272</t>
  </si>
  <si>
    <t>TXN00273</t>
  </si>
  <si>
    <t>TXN00274</t>
  </si>
  <si>
    <t>CUST0112</t>
  </si>
  <si>
    <t>TXN00275</t>
  </si>
  <si>
    <t>TXN00276</t>
  </si>
  <si>
    <t>CUST0015</t>
  </si>
  <si>
    <t>TXN00277</t>
  </si>
  <si>
    <t>CUST0063</t>
  </si>
  <si>
    <t>TXN00278</t>
  </si>
  <si>
    <t>TXN00279</t>
  </si>
  <si>
    <t>TXN00280</t>
  </si>
  <si>
    <t>TXN00281</t>
  </si>
  <si>
    <t>TXN00282</t>
  </si>
  <si>
    <t>TXN00283</t>
  </si>
  <si>
    <t>TXN00284</t>
  </si>
  <si>
    <t>TXN00285</t>
  </si>
  <si>
    <t>TXN00286</t>
  </si>
  <si>
    <t>TXN00287</t>
  </si>
  <si>
    <t>TXN00288</t>
  </si>
  <si>
    <t>TXN00289</t>
  </si>
  <si>
    <t>CUST0042</t>
  </si>
  <si>
    <t>TXN00290</t>
  </si>
  <si>
    <t>TXN00291</t>
  </si>
  <si>
    <t>CUST0089</t>
  </si>
  <si>
    <t>TXN00292</t>
  </si>
  <si>
    <t>CUST0134</t>
  </si>
  <si>
    <t>TXN00293</t>
  </si>
  <si>
    <t>TXN00294</t>
  </si>
  <si>
    <t>CUST0067</t>
  </si>
  <si>
    <t>TXN00295</t>
  </si>
  <si>
    <t>TXN00297</t>
  </si>
  <si>
    <t>TXN00298</t>
  </si>
  <si>
    <t>TXN00299</t>
  </si>
  <si>
    <t>TXN00300</t>
  </si>
  <si>
    <t>Store_Name</t>
  </si>
  <si>
    <t>Region</t>
  </si>
  <si>
    <t>City</t>
  </si>
  <si>
    <t>Manager_Name</t>
  </si>
  <si>
    <t>Open_Since</t>
  </si>
  <si>
    <t>Monthly_Rent</t>
  </si>
  <si>
    <t>Staff_Count</t>
  </si>
  <si>
    <t>East</t>
  </si>
  <si>
    <t>Delhi</t>
  </si>
  <si>
    <t>Raj Sharma</t>
  </si>
  <si>
    <t>2015-09-02</t>
  </si>
  <si>
    <t>North</t>
  </si>
  <si>
    <t>Mumbai</t>
  </si>
  <si>
    <t>Priya Mehta</t>
  </si>
  <si>
    <t>2011-07-01</t>
  </si>
  <si>
    <t>Bangalore</t>
  </si>
  <si>
    <t>Anil Kumar</t>
  </si>
  <si>
    <t>2017-02-23</t>
  </si>
  <si>
    <t>Central</t>
  </si>
  <si>
    <t>Chennai</t>
  </si>
  <si>
    <t>Sunita Rao</t>
  </si>
  <si>
    <t>2019-03-13</t>
  </si>
  <si>
    <t>Yes</t>
  </si>
  <si>
    <t>South</t>
  </si>
  <si>
    <t>Hyderabad</t>
  </si>
  <si>
    <t>Vikram Singh</t>
  </si>
  <si>
    <t>2014-06-04</t>
  </si>
  <si>
    <t>West</t>
  </si>
  <si>
    <t>Pune</t>
  </si>
  <si>
    <t>Meena Joshi</t>
  </si>
  <si>
    <t>2010-11-03</t>
  </si>
  <si>
    <t>Kolkata</t>
  </si>
  <si>
    <t>Deepak Verma</t>
  </si>
  <si>
    <t>2016-08-21</t>
  </si>
  <si>
    <t>Ahmedabad</t>
  </si>
  <si>
    <t>Kavita Nair</t>
  </si>
  <si>
    <t>2016-05-14</t>
  </si>
  <si>
    <t>Jaipur</t>
  </si>
  <si>
    <t>Rohit Gupta</t>
  </si>
  <si>
    <t>2010-09-13</t>
  </si>
  <si>
    <t>Sneha Pillai</t>
  </si>
  <si>
    <t>2014-11-17</t>
  </si>
  <si>
    <t>Sub_Category</t>
  </si>
  <si>
    <t>Supplier_ID</t>
  </si>
  <si>
    <t>Cost_Price</t>
  </si>
  <si>
    <t>MRP</t>
  </si>
  <si>
    <t>Reorder_Level</t>
  </si>
  <si>
    <t>Brand</t>
  </si>
  <si>
    <t>GST_Rate_Pct</t>
  </si>
  <si>
    <t>Is_Perishable</t>
  </si>
  <si>
    <t>Premium</t>
  </si>
  <si>
    <t>SUP002</t>
  </si>
  <si>
    <t>P&amp;G</t>
  </si>
  <si>
    <t>Budget</t>
  </si>
  <si>
    <t>SUP004</t>
  </si>
  <si>
    <t>Apple</t>
  </si>
  <si>
    <t>SUP015</t>
  </si>
  <si>
    <t>Nestle</t>
  </si>
  <si>
    <t>SUP011</t>
  </si>
  <si>
    <t>SUP008</t>
  </si>
  <si>
    <t>Adidas</t>
  </si>
  <si>
    <t>No</t>
  </si>
  <si>
    <t>SUP013</t>
  </si>
  <si>
    <t>SUP003</t>
  </si>
  <si>
    <t>Standard</t>
  </si>
  <si>
    <t>Reliance</t>
  </si>
  <si>
    <t>SUP014</t>
  </si>
  <si>
    <t>Tata</t>
  </si>
  <si>
    <t>Amul</t>
  </si>
  <si>
    <t>SUP006</t>
  </si>
  <si>
    <t>Samsung</t>
  </si>
  <si>
    <t>SUP001</t>
  </si>
  <si>
    <t>HUL</t>
  </si>
  <si>
    <t>Sony</t>
  </si>
  <si>
    <t>SUP010</t>
  </si>
  <si>
    <t>SUP007</t>
  </si>
  <si>
    <t>SUP012</t>
  </si>
  <si>
    <t>SUP005</t>
  </si>
  <si>
    <t>First_Name</t>
  </si>
  <si>
    <t>Last_Name</t>
  </si>
  <si>
    <t>Email</t>
  </si>
  <si>
    <t>Phone</t>
  </si>
  <si>
    <t>Loyalty_Tier</t>
  </si>
  <si>
    <t>Registration_Date</t>
  </si>
  <si>
    <t>Total_Purchases</t>
  </si>
  <si>
    <t>Lifetime_Value</t>
  </si>
  <si>
    <t>Age</t>
  </si>
  <si>
    <t>Gender</t>
  </si>
  <si>
    <t>Kavya</t>
  </si>
  <si>
    <t>Chopra</t>
  </si>
  <si>
    <t>amit.rao74@gmail.com</t>
  </si>
  <si>
    <t>+919270498955</t>
  </si>
  <si>
    <t>Silver</t>
  </si>
  <si>
    <t>2023-10-06</t>
  </si>
  <si>
    <t>CUST0002</t>
  </si>
  <si>
    <t>Kiran</t>
  </si>
  <si>
    <t>Verma</t>
  </si>
  <si>
    <t>vikram.kumar66@yahoo.com</t>
  </si>
  <si>
    <t>+918094407076</t>
  </si>
  <si>
    <t>Bronze</t>
  </si>
  <si>
    <t>2022-07-15</t>
  </si>
  <si>
    <t>Sanjay</t>
  </si>
  <si>
    <t>Srivastava</t>
  </si>
  <si>
    <t>sunita.gupta83@yahoo.com</t>
  </si>
  <si>
    <t>+916995358283</t>
  </si>
  <si>
    <t>Gold</t>
  </si>
  <si>
    <t>2021-11-24</t>
  </si>
  <si>
    <t>Vikram</t>
  </si>
  <si>
    <t>Rao</t>
  </si>
  <si>
    <t>kavya.gupta60@yahoo.com</t>
  </si>
  <si>
    <t>+916269986628</t>
  </si>
  <si>
    <t>2021-12-29</t>
  </si>
  <si>
    <t>Iyer</t>
  </si>
  <si>
    <t>deepa.mehta38gmail.com</t>
  </si>
  <si>
    <t>+917135405173</t>
  </si>
  <si>
    <t>Lucknow</t>
  </si>
  <si>
    <t>2023-01-15</t>
  </si>
  <si>
    <t>CUST0006</t>
  </si>
  <si>
    <t>Manoj</t>
  </si>
  <si>
    <t>arjun.bose95@yahoo.com</t>
  </si>
  <si>
    <t>+917586712032</t>
  </si>
  <si>
    <t>2020-10-08</t>
  </si>
  <si>
    <t>Female</t>
  </si>
  <si>
    <t>Rahul</t>
  </si>
  <si>
    <t>Pillai</t>
  </si>
  <si>
    <t>priya.sharma18@gmail.com</t>
  </si>
  <si>
    <t>+917005102559</t>
  </si>
  <si>
    <t>2023-05-28</t>
  </si>
  <si>
    <t>Deepa</t>
  </si>
  <si>
    <t>Bose</t>
  </si>
  <si>
    <t>deepa.reddy46@gmail.com</t>
  </si>
  <si>
    <t>+916183860832</t>
  </si>
  <si>
    <t>2021-09-23</t>
  </si>
  <si>
    <t>Male</t>
  </si>
  <si>
    <t>Rohit</t>
  </si>
  <si>
    <t>Mehta</t>
  </si>
  <si>
    <t>swati.gupta94@yahoo.com</t>
  </si>
  <si>
    <t>+918871553289</t>
  </si>
  <si>
    <t>Platinum</t>
  </si>
  <si>
    <t>2020-09-06</t>
  </si>
  <si>
    <t>CUST0010</t>
  </si>
  <si>
    <t>Singh</t>
  </si>
  <si>
    <t>arjun.joshi15@gmail.com</t>
  </si>
  <si>
    <t>+916888087890</t>
  </si>
  <si>
    <t>2020-05-28</t>
  </si>
  <si>
    <t>Priya</t>
  </si>
  <si>
    <t>ravi.gupta50@gmail.com</t>
  </si>
  <si>
    <t>0000000000</t>
  </si>
  <si>
    <t>2022-02-25</t>
  </si>
  <si>
    <t>Anita</t>
  </si>
  <si>
    <t>meera.bose84@gmail.com</t>
  </si>
  <si>
    <t>+919898653873</t>
  </si>
  <si>
    <t>2023-10-25</t>
  </si>
  <si>
    <t>Reddy</t>
  </si>
  <si>
    <t>deepa.rao17@gmail.com</t>
  </si>
  <si>
    <t>+919399296772</t>
  </si>
  <si>
    <t>2022-03-08</t>
  </si>
  <si>
    <t>Ravi</t>
  </si>
  <si>
    <t>priya.joshi14@gmail.com</t>
  </si>
  <si>
    <t>+917551562813</t>
  </si>
  <si>
    <t>2019-04-08</t>
  </si>
  <si>
    <t>Yadav</t>
  </si>
  <si>
    <t>manoj.chopra73@gmail.com</t>
  </si>
  <si>
    <t>+917666847218</t>
  </si>
  <si>
    <t>2021-03-26</t>
  </si>
  <si>
    <t>Neha</t>
  </si>
  <si>
    <t>Malhotra</t>
  </si>
  <si>
    <t>deepa.shah49@gmail.com</t>
  </si>
  <si>
    <t>+918017235435</t>
  </si>
  <si>
    <t>2019-07-22</t>
  </si>
  <si>
    <t>swati.sharma88@gmail.com</t>
  </si>
  <si>
    <t>+919942358816</t>
  </si>
  <si>
    <t>2022-11-15</t>
  </si>
  <si>
    <t>Suresh</t>
  </si>
  <si>
    <t>vikram.chopra63@yahoo.com</t>
  </si>
  <si>
    <t>+917952678750</t>
  </si>
  <si>
    <t>2019-12-01</t>
  </si>
  <si>
    <t>Joshi</t>
  </si>
  <si>
    <t>pooja.malhotra6@yahoo.com</t>
  </si>
  <si>
    <t>+919786236940</t>
  </si>
  <si>
    <t>2019-05-03</t>
  </si>
  <si>
    <t>Kumar</t>
  </si>
  <si>
    <t>arjun.sharma91@gmail.com</t>
  </si>
  <si>
    <t>+916199447370</t>
  </si>
  <si>
    <t>2020-03-17</t>
  </si>
  <si>
    <t>CUST0021</t>
  </si>
  <si>
    <t>kiran.yadav93@gmail.com</t>
  </si>
  <si>
    <t>+916171389355</t>
  </si>
  <si>
    <t>2023-07-25</t>
  </si>
  <si>
    <t>arjun.srivastava67@gmail.com</t>
  </si>
  <si>
    <t>+918785392585</t>
  </si>
  <si>
    <t>2020-06-04</t>
  </si>
  <si>
    <t>Sunita</t>
  </si>
  <si>
    <t>swati.rao56gmail.com</t>
  </si>
  <si>
    <t>+917391874847</t>
  </si>
  <si>
    <t>2021-09-02</t>
  </si>
  <si>
    <t>anita.chopra45@gmail.com</t>
  </si>
  <si>
    <t>+916443348057</t>
  </si>
  <si>
    <t>2023-09-15</t>
  </si>
  <si>
    <t>sanjay.singh72@gmail.com</t>
  </si>
  <si>
    <t>+919022524173</t>
  </si>
  <si>
    <t>2022-07-13</t>
  </si>
  <si>
    <t>Sharma</t>
  </si>
  <si>
    <t>swati.mehta2gmail.com</t>
  </si>
  <si>
    <t>+918239279558</t>
  </si>
  <si>
    <t>GOLD</t>
  </si>
  <si>
    <t>2019-07-17</t>
  </si>
  <si>
    <t>Meera</t>
  </si>
  <si>
    <t>deepa.srivastava61@gmail.com</t>
  </si>
  <si>
    <t>+918721149457</t>
  </si>
  <si>
    <t>2021-07-10</t>
  </si>
  <si>
    <t>CUST0028</t>
  </si>
  <si>
    <t>Swati</t>
  </si>
  <si>
    <t>Gupta</t>
  </si>
  <si>
    <t>deepa.kumar97gmail.com</t>
  </si>
  <si>
    <t>+919563307395</t>
  </si>
  <si>
    <t>2023-03-05</t>
  </si>
  <si>
    <t>anita.reddy36@yahoo.com</t>
  </si>
  <si>
    <t>+917174653422</t>
  </si>
  <si>
    <t>2020-11-16</t>
  </si>
  <si>
    <t>anita.das83@gmail.com</t>
  </si>
  <si>
    <t>+919585749068</t>
  </si>
  <si>
    <t>2020-06-16</t>
  </si>
  <si>
    <t>anita.kumar59@gmail.com</t>
  </si>
  <si>
    <t>+919186477946</t>
  </si>
  <si>
    <t>2021-01-09</t>
  </si>
  <si>
    <t>manoj.malhotra12@gmail.com</t>
  </si>
  <si>
    <t>+917130933907</t>
  </si>
  <si>
    <t>2021-01-07</t>
  </si>
  <si>
    <t>Divya</t>
  </si>
  <si>
    <t>ravi.reddy16@gmail.com</t>
  </si>
  <si>
    <t>+918485203088</t>
  </si>
  <si>
    <t>2022-02-21</t>
  </si>
  <si>
    <t>rahul.rao52@gmail.com</t>
  </si>
  <si>
    <t>+918337965699</t>
  </si>
  <si>
    <t>2022-02-15</t>
  </si>
  <si>
    <t>divya.das1@gmail.com</t>
  </si>
  <si>
    <t>+918448819206</t>
  </si>
  <si>
    <t>2023-07-17</t>
  </si>
  <si>
    <t>Shah</t>
  </si>
  <si>
    <t>swati.shah82@gmail.com</t>
  </si>
  <si>
    <t>+916746679280</t>
  </si>
  <si>
    <t>2020-06-11</t>
  </si>
  <si>
    <t>kiran.das27@gmail.com</t>
  </si>
  <si>
    <t>+917617740533</t>
  </si>
  <si>
    <t>2020-12-05</t>
  </si>
  <si>
    <t>Amit</t>
  </si>
  <si>
    <t>ravi.reddy47@gmail.com</t>
  </si>
  <si>
    <t>+918807514105</t>
  </si>
  <si>
    <t>2019-02-10</t>
  </si>
  <si>
    <t>anita.malhotra43@gmail.com</t>
  </si>
  <si>
    <t>+917625724671</t>
  </si>
  <si>
    <t>2021-04-23</t>
  </si>
  <si>
    <t>swati.shah61@gmail.com</t>
  </si>
  <si>
    <t>+917568937696</t>
  </si>
  <si>
    <t>2019-09-06</t>
  </si>
  <si>
    <t>neha.malhotra15@yahoo.com</t>
  </si>
  <si>
    <t>+918524061336</t>
  </si>
  <si>
    <t>2020-12-20</t>
  </si>
  <si>
    <t>anita.sharma44@gmail.com</t>
  </si>
  <si>
    <t>+918806059083</t>
  </si>
  <si>
    <t>2023-11-12</t>
  </si>
  <si>
    <t>kavya.das67@gmail.com</t>
  </si>
  <si>
    <t>+919857853947</t>
  </si>
  <si>
    <t>2022-10-23</t>
  </si>
  <si>
    <t>sunita.mehta22@gmail.com</t>
  </si>
  <si>
    <t>+919588312351</t>
  </si>
  <si>
    <t>2022-05-25</t>
  </si>
  <si>
    <t>Das</t>
  </si>
  <si>
    <t>pooja.rao33@gmail.com</t>
  </si>
  <si>
    <t>+916334309386</t>
  </si>
  <si>
    <t>2020-02-12</t>
  </si>
  <si>
    <t>CUST0046</t>
  </si>
  <si>
    <t>rohit.rao51@yahoo.com</t>
  </si>
  <si>
    <t>+918219050244</t>
  </si>
  <si>
    <t>2022-03-27</t>
  </si>
  <si>
    <t>CUST0047</t>
  </si>
  <si>
    <t>Patel</t>
  </si>
  <si>
    <t>rohit.reddy14@gmail.com</t>
  </si>
  <si>
    <t>+917080555408</t>
  </si>
  <si>
    <t>2022-03-25</t>
  </si>
  <si>
    <t>priya.yadav16@gmail.com</t>
  </si>
  <si>
    <t>+917616319802</t>
  </si>
  <si>
    <t>2022-08-23</t>
  </si>
  <si>
    <t>ravi.malhotra85@gmail.com</t>
  </si>
  <si>
    <t>+919896576569</t>
  </si>
  <si>
    <t>2022-08-22</t>
  </si>
  <si>
    <t>Pooja</t>
  </si>
  <si>
    <t>kiran.singh64@yahoo.com</t>
  </si>
  <si>
    <t>+916957345013</t>
  </si>
  <si>
    <t>2022-01-07</t>
  </si>
  <si>
    <t>CUST0051</t>
  </si>
  <si>
    <t>priya.das56@gmail.com</t>
  </si>
  <si>
    <t>+918217799930</t>
  </si>
  <si>
    <t>2019-12-24</t>
  </si>
  <si>
    <t>meera.srivastava23@gmail.com</t>
  </si>
  <si>
    <t>+917743078982</t>
  </si>
  <si>
    <t>2023-05-18</t>
  </si>
  <si>
    <t>deepa.singh14@gmail.com</t>
  </si>
  <si>
    <t>+917515685383</t>
  </si>
  <si>
    <t>2020-08-05</t>
  </si>
  <si>
    <t>Nair</t>
  </si>
  <si>
    <t>swati.shah42@gmail.com</t>
  </si>
  <si>
    <t>+919510005169</t>
  </si>
  <si>
    <t>2020-12-28</t>
  </si>
  <si>
    <t>sanjay.bose78@gmail.com</t>
  </si>
  <si>
    <t>+919726826559</t>
  </si>
  <si>
    <t>2020-10-27</t>
  </si>
  <si>
    <t>anita.gupta51@gmail.com</t>
  </si>
  <si>
    <t>+917481902553</t>
  </si>
  <si>
    <t>2022-10-10</t>
  </si>
  <si>
    <t>kavya.malhotra18@yahoo.com</t>
  </si>
  <si>
    <t>+918091054466</t>
  </si>
  <si>
    <t>2021-11-11</t>
  </si>
  <si>
    <t>swati.srivastava39@gmail.com</t>
  </si>
  <si>
    <t>+919404437849</t>
  </si>
  <si>
    <t>2021-09-25</t>
  </si>
  <si>
    <t>divya.reddy92@gmail.com</t>
  </si>
  <si>
    <t>+918070647070</t>
  </si>
  <si>
    <t>2023-05-06</t>
  </si>
  <si>
    <t>divya.verma26yahoo.com</t>
  </si>
  <si>
    <t>+919810374469</t>
  </si>
  <si>
    <t>2023-02-17</t>
  </si>
  <si>
    <t>kavya.patel87@yahoo.com</t>
  </si>
  <si>
    <t>+918595066420</t>
  </si>
  <si>
    <t>2021-07-04</t>
  </si>
  <si>
    <t>deepa.srivastava70@gmail.com</t>
  </si>
  <si>
    <t>+916028336833</t>
  </si>
  <si>
    <t>2023-12-27</t>
  </si>
  <si>
    <t>arjun.rao98@gmail.com</t>
  </si>
  <si>
    <t>+918155373421</t>
  </si>
  <si>
    <t>2019-06-10</t>
  </si>
  <si>
    <t>meera.yadav74@gmail.com</t>
  </si>
  <si>
    <t>+919788308237</t>
  </si>
  <si>
    <t>2021-02-19</t>
  </si>
  <si>
    <t>pooja.das37@gmail.com</t>
  </si>
  <si>
    <t>+916596864325</t>
  </si>
  <si>
    <t>2022-06-10</t>
  </si>
  <si>
    <t>CUST0066</t>
  </si>
  <si>
    <t>pooja.sharma67@yahoo.com</t>
  </si>
  <si>
    <t>+917889350539</t>
  </si>
  <si>
    <t>2020-08-09</t>
  </si>
  <si>
    <t>sanjay.singh7@gmail.com</t>
  </si>
  <si>
    <t>+916711271599</t>
  </si>
  <si>
    <t>2021-08-07</t>
  </si>
  <si>
    <t>rohit.gupta97@gmail.com</t>
  </si>
  <si>
    <t>+916987802843</t>
  </si>
  <si>
    <t>2022-07-17</t>
  </si>
  <si>
    <t>kavya.gupta19@gmail.com</t>
  </si>
  <si>
    <t>+916331091398</t>
  </si>
  <si>
    <t>2019-10-24</t>
  </si>
  <si>
    <t>CUST0070</t>
  </si>
  <si>
    <t>kavya.verma97gmail.com</t>
  </si>
  <si>
    <t>+918209937925</t>
  </si>
  <si>
    <t>2023-11-14</t>
  </si>
  <si>
    <t>neha.malhotra14@gmail.com</t>
  </si>
  <si>
    <t>+918763712703</t>
  </si>
  <si>
    <t>2019-12-10</t>
  </si>
  <si>
    <t>divya.nair96@gmail.com</t>
  </si>
  <si>
    <t>+917206067650</t>
  </si>
  <si>
    <t>2022-08-04</t>
  </si>
  <si>
    <t>sanjay.nair66@gmail.com</t>
  </si>
  <si>
    <t>+916908459040</t>
  </si>
  <si>
    <t>2023-07-13</t>
  </si>
  <si>
    <t>kavya.mehta49@gmail.com</t>
  </si>
  <si>
    <t>+916645277642</t>
  </si>
  <si>
    <t>2020-11-21</t>
  </si>
  <si>
    <t>arjun.das7yahoo.com</t>
  </si>
  <si>
    <t>+916802753761</t>
  </si>
  <si>
    <t>2021-05-13</t>
  </si>
  <si>
    <t>suresh.verma80@gmail.com</t>
  </si>
  <si>
    <t>+916675844672</t>
  </si>
  <si>
    <t>2022-07-16</t>
  </si>
  <si>
    <t>ravi.nair82@gmail.com</t>
  </si>
  <si>
    <t>+917555735702</t>
  </si>
  <si>
    <t>2022-06-08</t>
  </si>
  <si>
    <t>neha.yadav70@gmail.com</t>
  </si>
  <si>
    <t>+918585657398</t>
  </si>
  <si>
    <t>2022-03-16</t>
  </si>
  <si>
    <t>rohit.verma38@gmail.com</t>
  </si>
  <si>
    <t>+919080791678</t>
  </si>
  <si>
    <t>2021-04-08</t>
  </si>
  <si>
    <t>amit.joshi23@gmail.com</t>
  </si>
  <si>
    <t>+919508795329</t>
  </si>
  <si>
    <t>2023-10-05</t>
  </si>
  <si>
    <t>sunita.iyer6gmail.com</t>
  </si>
  <si>
    <t>+916508224423</t>
  </si>
  <si>
    <t>2019-05-27</t>
  </si>
  <si>
    <t>divya.gupta17@yahoo.com</t>
  </si>
  <si>
    <t>+918839444315</t>
  </si>
  <si>
    <t>2019-06-12</t>
  </si>
  <si>
    <t>suresh.sharma43@gmail.com</t>
  </si>
  <si>
    <t>+916989329953</t>
  </si>
  <si>
    <t>2019-11-28</t>
  </si>
  <si>
    <t>vikram.mehta20@gmail.com</t>
  </si>
  <si>
    <t>+917780752198</t>
  </si>
  <si>
    <t>2020-12-04</t>
  </si>
  <si>
    <t>CUST0085</t>
  </si>
  <si>
    <t>swati.mehta81@gmail.com</t>
  </si>
  <si>
    <t>+919483959915</t>
  </si>
  <si>
    <t>2020-04-12</t>
  </si>
  <si>
    <t>CUST0086</t>
  </si>
  <si>
    <t>kavya.chopra74@gmail.com</t>
  </si>
  <si>
    <t>+917418304567</t>
  </si>
  <si>
    <t>2020-10-04</t>
  </si>
  <si>
    <t>amit.reddy68@yahoo.com</t>
  </si>
  <si>
    <t>+919093474499</t>
  </si>
  <si>
    <t>2020-10-10</t>
  </si>
  <si>
    <t>Arjun</t>
  </si>
  <si>
    <t>deepa.srivastava9@gmail.com</t>
  </si>
  <si>
    <t>+916486786005</t>
  </si>
  <si>
    <t>2022-08-30</t>
  </si>
  <si>
    <t>deepa.bose70@gmail.com</t>
  </si>
  <si>
    <t>+918068098256</t>
  </si>
  <si>
    <t>2020-08-19</t>
  </si>
  <si>
    <t>amit.patel29@gmail.com</t>
  </si>
  <si>
    <t>+918900088306</t>
  </si>
  <si>
    <t>2022-12-25</t>
  </si>
  <si>
    <t>CUST0091</t>
  </si>
  <si>
    <t>arjun.reddy47@yahoo.com</t>
  </si>
  <si>
    <t>+918056493243</t>
  </si>
  <si>
    <t>2020-07-01</t>
  </si>
  <si>
    <t>swati.srivastava61@gmail.com</t>
  </si>
  <si>
    <t>+918057380250</t>
  </si>
  <si>
    <t>2022-05-24</t>
  </si>
  <si>
    <t>rahul.rao86gmail.com</t>
  </si>
  <si>
    <t>+916904966590</t>
  </si>
  <si>
    <t>2022-08-13</t>
  </si>
  <si>
    <t>anita.shah80@yahoo.com</t>
  </si>
  <si>
    <t>+918537427612</t>
  </si>
  <si>
    <t>2021-03-20</t>
  </si>
  <si>
    <t>priya.reddy49@gmail.com</t>
  </si>
  <si>
    <t>+916692547412</t>
  </si>
  <si>
    <t>2020-07-09</t>
  </si>
  <si>
    <t>sunita.iyer33@gmail.com</t>
  </si>
  <si>
    <t>+918779957226</t>
  </si>
  <si>
    <t>2023-12-23</t>
  </si>
  <si>
    <t>kavya.sharma67@gmail.com</t>
  </si>
  <si>
    <t>+919579275417</t>
  </si>
  <si>
    <t>2021-06-30</t>
  </si>
  <si>
    <t>neha.srivastava66gmail.com</t>
  </si>
  <si>
    <t>+917764798660</t>
  </si>
  <si>
    <t>2023-05-19</t>
  </si>
  <si>
    <t>priya.pillai84yahoo.com</t>
  </si>
  <si>
    <t>+916096405016</t>
  </si>
  <si>
    <t>2023-11-03</t>
  </si>
  <si>
    <t>kiran.kumar13yahoo.com</t>
  </si>
  <si>
    <t>+917046556006</t>
  </si>
  <si>
    <t>2021-01-13</t>
  </si>
  <si>
    <t>+916185303518</t>
  </si>
  <si>
    <t>2023-03-12</t>
  </si>
  <si>
    <t>rohit.verma88@gmail.com</t>
  </si>
  <si>
    <t>+916549262370</t>
  </si>
  <si>
    <t>2022-04-17</t>
  </si>
  <si>
    <t>sunita.verma69@gmail.com</t>
  </si>
  <si>
    <t>+918463105817</t>
  </si>
  <si>
    <t>2021-12-02</t>
  </si>
  <si>
    <t>pooja.kumar96@gmail.com</t>
  </si>
  <si>
    <t>+918544113848</t>
  </si>
  <si>
    <t>2021-07-11</t>
  </si>
  <si>
    <t>rahul.malhotra92@gmail.com</t>
  </si>
  <si>
    <t>+916692044390</t>
  </si>
  <si>
    <t>2021-04-27</t>
  </si>
  <si>
    <t>amit.kumar7@yahoo.com</t>
  </si>
  <si>
    <t>+916578635360</t>
  </si>
  <si>
    <t>2019-12-09</t>
  </si>
  <si>
    <t>suresh.das10@gmail.com</t>
  </si>
  <si>
    <t>+918703855522</t>
  </si>
  <si>
    <t>2020-01-12</t>
  </si>
  <si>
    <t>anita.gupta53@gmail.com</t>
  </si>
  <si>
    <t>+918201784149</t>
  </si>
  <si>
    <t>2023-10-16</t>
  </si>
  <si>
    <t>sanjay.bose41@yahoo.com</t>
  </si>
  <si>
    <t>+916168323465</t>
  </si>
  <si>
    <t>2019-02-17</t>
  </si>
  <si>
    <t>sunita.das1@gmail.com</t>
  </si>
  <si>
    <t>+919825946852</t>
  </si>
  <si>
    <t>2019-09-14</t>
  </si>
  <si>
    <t>CUST0111</t>
  </si>
  <si>
    <t>swati.kumar97@gmail.com</t>
  </si>
  <si>
    <t>+918457877922</t>
  </si>
  <si>
    <t>2023-01-30</t>
  </si>
  <si>
    <t>priya.kumar46@gmail.com</t>
  </si>
  <si>
    <t>+916630780803</t>
  </si>
  <si>
    <t>2020-04-25</t>
  </si>
  <si>
    <t>sunita.pillai88@gmail.com</t>
  </si>
  <si>
    <t>+916240140248</t>
  </si>
  <si>
    <t>2022-09-17</t>
  </si>
  <si>
    <t>amit.pillai98@gmail.com</t>
  </si>
  <si>
    <t>+916714430728</t>
  </si>
  <si>
    <t>2020-05-30</t>
  </si>
  <si>
    <t>CUST0115</t>
  </si>
  <si>
    <t>sanjay.iyer85@yahoo.com</t>
  </si>
  <si>
    <t>+917109216714</t>
  </si>
  <si>
    <t>2023-03-04</t>
  </si>
  <si>
    <t>deepa.das29@yahoo.com</t>
  </si>
  <si>
    <t>+919961879157</t>
  </si>
  <si>
    <t>2022-12-06</t>
  </si>
  <si>
    <t>sanjay.das38@gmail.com</t>
  </si>
  <si>
    <t>+916773255350</t>
  </si>
  <si>
    <t>2023-03-16</t>
  </si>
  <si>
    <t>vikram.pillai87@gmail.com</t>
  </si>
  <si>
    <t>+918218954863</t>
  </si>
  <si>
    <t>2019-06-13</t>
  </si>
  <si>
    <t>CUST0119</t>
  </si>
  <si>
    <t>neha.sharma71@gmail.com</t>
  </si>
  <si>
    <t>+917741421625</t>
  </si>
  <si>
    <t>2020-03-07</t>
  </si>
  <si>
    <t>CUST0120</t>
  </si>
  <si>
    <t>vikram.rao6@yahoo.com</t>
  </si>
  <si>
    <t>+918574220936</t>
  </si>
  <si>
    <t>2019-12-08</t>
  </si>
  <si>
    <t>swati.iyer69@gmail.com</t>
  </si>
  <si>
    <t>+918420663750</t>
  </si>
  <si>
    <t>2021-03-24</t>
  </si>
  <si>
    <t>CUST0122</t>
  </si>
  <si>
    <t>amit.pillai27@gmail.com</t>
  </si>
  <si>
    <t>+918738568701</t>
  </si>
  <si>
    <t>2019-07-30</t>
  </si>
  <si>
    <t>neha.verma53@gmail.com</t>
  </si>
  <si>
    <t>+916079972435</t>
  </si>
  <si>
    <t>2019-07-15</t>
  </si>
  <si>
    <t>CUST0124</t>
  </si>
  <si>
    <t>kiran.singh21@yahoo.com</t>
  </si>
  <si>
    <t>+919773167333</t>
  </si>
  <si>
    <t>2019-05-11</t>
  </si>
  <si>
    <t>swati.gupta25yahoo.com</t>
  </si>
  <si>
    <t>+919090432112</t>
  </si>
  <si>
    <t>2023-12-05</t>
  </si>
  <si>
    <t>manoj.mehta97@gmail.com</t>
  </si>
  <si>
    <t>+919126625885</t>
  </si>
  <si>
    <t>2021-08-27</t>
  </si>
  <si>
    <t>divya.malhotra83@gmail.com</t>
  </si>
  <si>
    <t>+918842173377</t>
  </si>
  <si>
    <t>2022-01-28</t>
  </si>
  <si>
    <t>kavya.kumar33@yahoo.com</t>
  </si>
  <si>
    <t>+919527470850</t>
  </si>
  <si>
    <t>2019-04-21</t>
  </si>
  <si>
    <t>manoj.chopra43@gmail.com</t>
  </si>
  <si>
    <t>+917217428333</t>
  </si>
  <si>
    <t>2019-02-23</t>
  </si>
  <si>
    <t>anita.rao37@gmail.com</t>
  </si>
  <si>
    <t>+916368287033</t>
  </si>
  <si>
    <t>2023-04-28</t>
  </si>
  <si>
    <t>rohit.reddy63gmail.com</t>
  </si>
  <si>
    <t>+916930261655</t>
  </si>
  <si>
    <t>swati.pillai89@gmail.com</t>
  </si>
  <si>
    <t>+917929313730</t>
  </si>
  <si>
    <t>2021-12-09</t>
  </si>
  <si>
    <t>manoj.yadav47@gmail.com</t>
  </si>
  <si>
    <t>+918605008864</t>
  </si>
  <si>
    <t>2023-04-16</t>
  </si>
  <si>
    <t>pooja.joshi1@gmail.com</t>
  </si>
  <si>
    <t>+918024705373</t>
  </si>
  <si>
    <t>2019-06-20</t>
  </si>
  <si>
    <t>CUST0135</t>
  </si>
  <si>
    <t>anita.bose36@gmail.com</t>
  </si>
  <si>
    <t>+919725035441</t>
  </si>
  <si>
    <t>2019-08-01</t>
  </si>
  <si>
    <t>vikram.reddy62@gmail.com</t>
  </si>
  <si>
    <t>+918068750029</t>
  </si>
  <si>
    <t>2020-06-21</t>
  </si>
  <si>
    <t>neha.pillai63gmail.com</t>
  </si>
  <si>
    <t>+916732578761</t>
  </si>
  <si>
    <t>2022-06-19</t>
  </si>
  <si>
    <t>deepa.shah11@gmail.com</t>
  </si>
  <si>
    <t>+916942160389</t>
  </si>
  <si>
    <t>2019-11-15</t>
  </si>
  <si>
    <t>vikram.das26@yahoo.com</t>
  </si>
  <si>
    <t>+919566384410</t>
  </si>
  <si>
    <t>2019-06-22</t>
  </si>
  <si>
    <t>amit.kumar3@gmail.com</t>
  </si>
  <si>
    <t>+917764230206</t>
  </si>
  <si>
    <t>2022-09-03</t>
  </si>
  <si>
    <t>rahul.yadav75@gmail.com</t>
  </si>
  <si>
    <t>+918580582653</t>
  </si>
  <si>
    <t>2023-12-19</t>
  </si>
  <si>
    <t>manoj.verma5@gmail.com</t>
  </si>
  <si>
    <t>+916612943949</t>
  </si>
  <si>
    <t>2021-03-09</t>
  </si>
  <si>
    <t>CUST0143</t>
  </si>
  <si>
    <t>divya.das61@gmail.com</t>
  </si>
  <si>
    <t>+919412850018</t>
  </si>
  <si>
    <t>2020-09-25</t>
  </si>
  <si>
    <t>vikram.patel51@yahoo.com</t>
  </si>
  <si>
    <t>+918502446090</t>
  </si>
  <si>
    <t>2020-04-14</t>
  </si>
  <si>
    <t>manoj.pillai18@gmail.com</t>
  </si>
  <si>
    <t>+919523819579</t>
  </si>
  <si>
    <t>2020-05-21</t>
  </si>
  <si>
    <t>kiran.kumar51@gmail.com</t>
  </si>
  <si>
    <t>+919296344958</t>
  </si>
  <si>
    <t>2023-02-19</t>
  </si>
  <si>
    <t>rahul.nair79@gmail.com</t>
  </si>
  <si>
    <t>+916781186472</t>
  </si>
  <si>
    <t>2020-08-04</t>
  </si>
  <si>
    <t>kiran.singh58@yahoo.com</t>
  </si>
  <si>
    <t>+918676674027</t>
  </si>
  <si>
    <t>2021-06-26</t>
  </si>
  <si>
    <t>manoj.yadav85@gmail.com</t>
  </si>
  <si>
    <t>+918833169800</t>
  </si>
  <si>
    <t>2022-07-07</t>
  </si>
  <si>
    <t>CUST0150</t>
  </si>
  <si>
    <t>vikram.chopra46@yahoo.com</t>
  </si>
  <si>
    <t>+918193890388</t>
  </si>
  <si>
    <t>2019-09-16</t>
  </si>
  <si>
    <t>Month</t>
  </si>
  <si>
    <t>Gross_Revenue</t>
  </si>
  <si>
    <t>COGS</t>
  </si>
  <si>
    <t>Gross_Profit</t>
  </si>
  <si>
    <t>Operating_Expenses</t>
  </si>
  <si>
    <t>Net_Profit</t>
  </si>
  <si>
    <t>Gross_Margin_Pct</t>
  </si>
  <si>
    <t>Net_Margin_Pct</t>
  </si>
  <si>
    <t>Transactions_Count</t>
  </si>
  <si>
    <t>Avg_Basket_Size</t>
  </si>
  <si>
    <t>Returns_Amount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</si>
  <si>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</si>
  <si>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</si>
  <si>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</si>
  <si>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</si>
  <si>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</si>
  <si>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</si>
  <si>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</si>
  <si>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</si>
  <si>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</si>
  <si>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</si>
  <si>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</si>
  <si>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</si>
  <si>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</si>
  <si>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</si>
  <si>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</si>
  <si>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</si>
  <si>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</si>
  <si>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</si>
  <si>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</si>
  <si>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</si>
  <si>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</si>
  <si>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</si>
  <si>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</si>
  <si>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</si>
  <si>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</si>
  <si>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</si>
  <si>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</si>
  <si>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</si>
  <si>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</si>
  <si>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</si>
  <si>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</si>
  <si>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</si>
  <si>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</si>
  <si>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</si>
  <si>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</si>
  <si>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</si>
  <si>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TXN00033</t>
  </si>
  <si>
    <t>TXN00040</t>
  </si>
  <si>
    <t>TXN00185</t>
  </si>
  <si>
    <t>TXN00140</t>
  </si>
  <si>
    <t>TXN00255</t>
  </si>
  <si>
    <t>TXN00269</t>
  </si>
  <si>
    <t>TXN00172</t>
  </si>
  <si>
    <t>TXN00262</t>
  </si>
  <si>
    <t>TXN00135</t>
  </si>
  <si>
    <t>TXN00220</t>
  </si>
  <si>
    <t>TXN00296</t>
  </si>
  <si>
    <t>TXN00234</t>
  </si>
  <si>
    <t>Status</t>
  </si>
  <si>
    <t>UNKNOWN</t>
  </si>
  <si>
    <t>Email status</t>
  </si>
  <si>
    <t>phone status</t>
  </si>
  <si>
    <t>phone number</t>
  </si>
  <si>
    <t xml:space="preserve">validatioin column </t>
  </si>
  <si>
    <t>Is_active</t>
  </si>
  <si>
    <t>Store_Units</t>
  </si>
  <si>
    <t>Unknown</t>
  </si>
  <si>
    <t>Megamart Delhi</t>
  </si>
  <si>
    <t>Shopzone Mumbai</t>
  </si>
  <si>
    <t>Retailhub Bangalore</t>
  </si>
  <si>
    <t>Valuestore Chennai</t>
  </si>
  <si>
    <t>Freshmart Hyderabad</t>
  </si>
  <si>
    <t>Quickshop Pune</t>
  </si>
  <si>
    <t>Citymall Kolkata</t>
  </si>
  <si>
    <t>Starstore Ahmedabad</t>
  </si>
  <si>
    <t>Primemart Jaipur</t>
  </si>
  <si>
    <t>Superzone Lucknow</t>
  </si>
  <si>
    <t xml:space="preserve">Lucknow </t>
  </si>
  <si>
    <t>Store_Size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</si>
</sst>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10"/>
      <color rgb="FF1F3864"/>
      <name val="Arial"/>
      <family val="2"/>
    </font>
    <font>
      <b/>
      <sz val="9"/>
      <name val="Arial"/>
      <family val="2"/>
    </font>
    <font>
      <sz val="11"/>
      <color theme="1"/>
      <name val="Calibri"/>
      <charset val="134"/>
      <scheme val="minor"/>
    </font>
    <font>
      <sz val="6"/>
      <color rgb="FFFAF9F5"/>
      <name val="Courier New"/>
      <family val="3"/>
    </font>
  </fonts>
  <fills count="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EEF2FF"/>
        <bgColor indexed="64"/>
      </patternFill>
    </fill>
    <fill>
      <patternFill patternType="solid">
        <fgColor rgb="FFFFE0E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/>
    <xf numFmtId="0" fontId="0" fillId="0" borderId="1" xfId="0" applyBorder="1"/>
    <xf numFmtId="0" fontId="5" fillId="0" borderId="1" xfId="0" applyFont="1" applyBorder="1"/>
    <xf numFmtId="0" fontId="3" fillId="0" borderId="1" xfId="0" applyFont="1" applyBorder="1"/>
    <xf numFmtId="14" fontId="0" fillId="0" borderId="0" xfId="0" applyNumberFormat="1"/>
    <xf numFmtId="14" fontId="2" fillId="2" borderId="1" xfId="0" applyNumberFormat="1" applyFont="1" applyFill="1" applyBorder="1" applyAlignment="1">
      <alignment horizontal="center" vertical="center" wrapText="1"/>
    </xf>
    <xf numFmtId="14" fontId="3" fillId="3" borderId="1" xfId="0" applyNumberFormat="1" applyFont="1" applyFill="1" applyBorder="1" applyAlignment="1">
      <alignment horizontal="left" vertical="center"/>
    </xf>
    <xf numFmtId="14" fontId="3" fillId="0" borderId="1" xfId="0" applyNumberFormat="1" applyFont="1" applyBorder="1" applyAlignment="1">
      <alignment horizontal="left" vertical="center"/>
    </xf>
    <xf numFmtId="2" fontId="3" fillId="3" borderId="1" xfId="0" applyNumberFormat="1" applyFont="1" applyFill="1" applyBorder="1" applyAlignment="1">
      <alignment horizontal="left" vertical="center"/>
    </xf>
    <xf numFmtId="2" fontId="2" fillId="2" borderId="1" xfId="0" applyNumberFormat="1" applyFont="1" applyFill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left" vertical="center"/>
    </xf>
    <xf numFmtId="2" fontId="0" fillId="0" borderId="0" xfId="0" applyNumberFormat="1"/>
    <xf numFmtId="0" fontId="3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/>
    </xf>
    <xf numFmtId="0" fontId="1" fillId="0" borderId="0" xfId="0" applyFont="1"/>
    <xf numFmtId="0" fontId="7" fillId="0" borderId="0" xfId="0" applyFont="1"/>
    <xf numFmtId="2" fontId="2" fillId="2" borderId="1" xfId="1" applyNumberFormat="1" applyFont="1" applyFill="1" applyBorder="1" applyAlignment="1">
      <alignment horizontal="center" vertical="center" wrapText="1"/>
    </xf>
    <xf numFmtId="2" fontId="3" fillId="3" borderId="1" xfId="1" applyNumberFormat="1" applyFont="1" applyFill="1" applyBorder="1" applyAlignment="1">
      <alignment horizontal="left" vertical="center"/>
    </xf>
    <xf numFmtId="2" fontId="0" fillId="0" borderId="0" xfId="1" applyNumberFormat="1" applyFont="1"/>
    <xf numFmtId="0" fontId="3" fillId="0" borderId="0" xfId="0" applyFont="1" applyAlignment="1">
      <alignment horizontal="left" vertical="center"/>
    </xf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08080"/>
  </sheetPr>
  <dimension ref="A1:B28"/>
  <sheetViews>
    <sheetView topLeftCell="A9" workbookViewId="0">
      <selection activeCell="B26" sqref="B26"/>
    </sheetView>
  </sheetViews>
  <sheetFormatPr defaultColWidth="9" defaultRowHeight="14.5"/>
  <cols>
    <col min="1" max="1" width="28" customWidth="1"/>
    <col min="2" max="2" width="70" customWidth="1"/>
  </cols>
  <sheetData>
    <row r="1" spans="1:2">
      <c r="A1" s="5" t="s">
        <v>0</v>
      </c>
      <c r="B1" s="6" t="s">
        <v>1</v>
      </c>
    </row>
    <row r="2" spans="1:2">
      <c r="A2" s="7" t="s">
        <v>1</v>
      </c>
      <c r="B2" s="8" t="s">
        <v>1</v>
      </c>
    </row>
    <row r="3" spans="1:2">
      <c r="A3" s="7" t="s">
        <v>2</v>
      </c>
      <c r="B3" s="8" t="s">
        <v>3</v>
      </c>
    </row>
    <row r="4" spans="1:2">
      <c r="A4" s="7" t="s">
        <v>4</v>
      </c>
      <c r="B4" s="8" t="s">
        <v>5</v>
      </c>
    </row>
    <row r="5" spans="1:2">
      <c r="A5" s="7" t="s">
        <v>6</v>
      </c>
      <c r="B5" s="8" t="s">
        <v>7</v>
      </c>
    </row>
    <row r="6" spans="1:2">
      <c r="A6" s="7" t="s">
        <v>1</v>
      </c>
      <c r="B6" s="8" t="s">
        <v>1</v>
      </c>
    </row>
    <row r="7" spans="1:2">
      <c r="A7" s="5" t="s">
        <v>8</v>
      </c>
      <c r="B7" s="6" t="s">
        <v>1</v>
      </c>
    </row>
    <row r="8" spans="1:2">
      <c r="A8" s="7" t="s">
        <v>9</v>
      </c>
      <c r="B8" s="8" t="s">
        <v>10</v>
      </c>
    </row>
    <row r="9" spans="1:2">
      <c r="A9" s="7" t="s">
        <v>11</v>
      </c>
      <c r="B9" s="8" t="s">
        <v>12</v>
      </c>
    </row>
    <row r="10" spans="1:2">
      <c r="A10" s="7" t="s">
        <v>13</v>
      </c>
      <c r="B10" s="8" t="s">
        <v>14</v>
      </c>
    </row>
    <row r="11" spans="1:2">
      <c r="A11" s="7" t="s">
        <v>15</v>
      </c>
      <c r="B11" s="8" t="s">
        <v>16</v>
      </c>
    </row>
    <row r="12" spans="1:2">
      <c r="A12" s="7" t="s">
        <v>17</v>
      </c>
      <c r="B12" s="8" t="s">
        <v>18</v>
      </c>
    </row>
    <row r="13" spans="1:2">
      <c r="A13" s="7" t="s">
        <v>1</v>
      </c>
      <c r="B13" s="8" t="s">
        <v>1</v>
      </c>
    </row>
    <row r="14" spans="1:2">
      <c r="A14" s="5" t="s">
        <v>19</v>
      </c>
      <c r="B14" s="6" t="s">
        <v>1</v>
      </c>
    </row>
    <row r="15" spans="1:2">
      <c r="A15" s="7" t="s">
        <v>20</v>
      </c>
      <c r="B15" s="8" t="s">
        <v>21</v>
      </c>
    </row>
    <row r="16" spans="1:2">
      <c r="A16" s="7" t="s">
        <v>22</v>
      </c>
      <c r="B16" s="8" t="s">
        <v>23</v>
      </c>
    </row>
    <row r="17" spans="1:2">
      <c r="A17" s="7" t="s">
        <v>24</v>
      </c>
      <c r="B17" s="8" t="s">
        <v>25</v>
      </c>
    </row>
    <row r="18" spans="1:2">
      <c r="A18" s="7" t="s">
        <v>26</v>
      </c>
      <c r="B18" s="8" t="s">
        <v>27</v>
      </c>
    </row>
    <row r="19" spans="1:2">
      <c r="A19" s="7" t="s">
        <v>28</v>
      </c>
      <c r="B19" s="8" t="s">
        <v>29</v>
      </c>
    </row>
    <row r="20" spans="1:2">
      <c r="A20" s="7" t="s">
        <v>30</v>
      </c>
      <c r="B20" s="8" t="s">
        <v>31</v>
      </c>
    </row>
    <row r="21" spans="1:2">
      <c r="A21" s="7" t="s">
        <v>32</v>
      </c>
      <c r="B21" s="8" t="s">
        <v>33</v>
      </c>
    </row>
    <row r="22" spans="1:2">
      <c r="A22" s="7" t="s">
        <v>34</v>
      </c>
      <c r="B22" s="8" t="s">
        <v>35</v>
      </c>
    </row>
    <row r="23" spans="1:2">
      <c r="A23" s="7" t="s">
        <v>1</v>
      </c>
      <c r="B23" s="8" t="s">
        <v>1</v>
      </c>
    </row>
    <row r="24" spans="1:2">
      <c r="A24" s="5" t="s">
        <v>36</v>
      </c>
      <c r="B24" s="6" t="s">
        <v>1</v>
      </c>
    </row>
    <row r="25" spans="1:2">
      <c r="A25" s="7" t="s">
        <v>37</v>
      </c>
      <c r="B25" s="8" t="s">
        <v>38</v>
      </c>
    </row>
    <row r="26" spans="1:2">
      <c r="A26" s="7" t="s">
        <v>39</v>
      </c>
      <c r="B26" s="8" t="s">
        <v>40</v>
      </c>
    </row>
    <row r="27" spans="1:2">
      <c r="A27" s="7" t="s">
        <v>41</v>
      </c>
      <c r="B27" s="8" t="s">
        <v>42</v>
      </c>
    </row>
    <row r="28" spans="1:2">
      <c r="A28" s="7" t="s">
        <v>43</v>
      </c>
      <c r="B28" s="8" t="s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42970-113D-4D87-A9DD-24B9F8DA6612}">
  <sheetPr>
    <tabColor rgb="FFFF4444"/>
  </sheetPr>
  <dimension ref="A1:M301"/>
  <sheetViews>
    <sheetView tabSelected="1" zoomScale="85" zoomScaleNormal="85" workbookViewId="0">
      <pane ySplit="1" topLeftCell="A107" activePane="bottomLeft" state="frozen"/>
      <selection activeCell="B26" sqref="B26"/>
      <selection pane="bottomLeft" activeCell="N1" sqref="N1"/>
    </sheetView>
  </sheetViews>
  <sheetFormatPr defaultColWidth="9" defaultRowHeight="14.5"/>
  <cols>
    <col min="1" max="1" width="17" customWidth="1"/>
    <col min="2" max="2" width="14" customWidth="1"/>
    <col min="3" max="3" width="11" customWidth="1"/>
    <col min="4" max="4" width="13" customWidth="1"/>
    <col min="5" max="5" width="23" customWidth="1"/>
    <col min="6" max="6" width="16" customWidth="1"/>
    <col min="7" max="7" width="22" style="9" customWidth="1"/>
    <col min="8" max="8" width="11" customWidth="1"/>
    <col min="9" max="10" width="13" customWidth="1"/>
    <col min="11" max="11" width="15" customWidth="1"/>
    <col min="12" max="12" width="16" customWidth="1"/>
    <col min="13" max="13" width="17" customWidth="1"/>
  </cols>
  <sheetData>
    <row r="1" spans="1:13" ht="30" customHeight="1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0" t="s">
        <v>51</v>
      </c>
      <c r="H1" s="1" t="s">
        <v>52</v>
      </c>
      <c r="I1" s="1" t="s">
        <v>53</v>
      </c>
      <c r="J1" s="1" t="s">
        <v>1263</v>
      </c>
      <c r="K1" s="1" t="s">
        <v>54</v>
      </c>
      <c r="L1" s="1" t="s">
        <v>55</v>
      </c>
      <c r="M1" s="1" t="s">
        <v>56</v>
      </c>
    </row>
    <row r="2" spans="1:13">
      <c r="A2" s="2" t="s">
        <v>291</v>
      </c>
      <c r="B2" s="2" t="s">
        <v>210</v>
      </c>
      <c r="C2" s="2" t="s">
        <v>130</v>
      </c>
      <c r="D2" s="2" t="s">
        <v>263</v>
      </c>
      <c r="E2" s="2" t="s">
        <v>117</v>
      </c>
      <c r="F2" s="2" t="s">
        <v>62</v>
      </c>
      <c r="G2" s="11">
        <v>45654</v>
      </c>
      <c r="H2" s="2">
        <v>20</v>
      </c>
      <c r="I2" s="2">
        <v>4655.84</v>
      </c>
      <c r="J2" s="2" t="str" cm="1">
        <f t="array" ref="J2">_xlfn.IFS(I2="","review",H2&lt;=0,"review",H2&gt;=100,"review",TRUE,"Ok")</f>
        <v>Ok</v>
      </c>
      <c r="K2" s="2">
        <v>0.13</v>
      </c>
      <c r="L2" s="2">
        <v>3164.33</v>
      </c>
      <c r="M2" s="2" t="s">
        <v>70</v>
      </c>
    </row>
    <row r="3" spans="1:13">
      <c r="A3" s="2" t="s">
        <v>342</v>
      </c>
      <c r="B3" s="2" t="s">
        <v>343</v>
      </c>
      <c r="C3" s="2" t="s">
        <v>95</v>
      </c>
      <c r="D3" s="2" t="s">
        <v>344</v>
      </c>
      <c r="E3" s="2" t="s">
        <v>61</v>
      </c>
      <c r="F3" s="2" t="s">
        <v>62</v>
      </c>
      <c r="G3" s="11">
        <v>45649</v>
      </c>
      <c r="H3" s="2">
        <v>11</v>
      </c>
      <c r="I3" s="2">
        <v>3892.05</v>
      </c>
      <c r="J3" s="2" t="str" cm="1">
        <f t="array" ref="J3">_xlfn.IFS(I3="","review",H3&lt;=0,"review",H3&gt;=100,"review",TRUE,"Ok")</f>
        <v>Ok</v>
      </c>
      <c r="K3" s="2">
        <v>0.18</v>
      </c>
      <c r="L3" s="2">
        <v>2028.04</v>
      </c>
      <c r="M3" s="2" t="s">
        <v>76</v>
      </c>
    </row>
    <row r="4" spans="1:13">
      <c r="A4" s="2" t="s">
        <v>443</v>
      </c>
      <c r="B4" s="2" t="s">
        <v>100</v>
      </c>
      <c r="C4" s="2" t="s">
        <v>73</v>
      </c>
      <c r="D4" s="2" t="s">
        <v>344</v>
      </c>
      <c r="E4" s="2" t="s">
        <v>176</v>
      </c>
      <c r="F4" s="2" t="s">
        <v>62</v>
      </c>
      <c r="G4" s="11">
        <v>45649</v>
      </c>
      <c r="H4" s="2">
        <v>19</v>
      </c>
      <c r="I4" s="2">
        <v>3295.87</v>
      </c>
      <c r="J4" s="2" t="str" cm="1">
        <f t="array" ref="J4">_xlfn.IFS(I4="","review",H4&lt;=0,"review",H4&gt;=100,"review",TRUE,"Ok")</f>
        <v>Ok</v>
      </c>
      <c r="K4" s="2">
        <v>0.17</v>
      </c>
      <c r="L4" s="2">
        <v>1944.15</v>
      </c>
      <c r="M4" s="2" t="s">
        <v>70</v>
      </c>
    </row>
    <row r="5" spans="1:13">
      <c r="A5" s="2" t="s">
        <v>271</v>
      </c>
      <c r="B5" s="2" t="s">
        <v>272</v>
      </c>
      <c r="C5" s="3" t="s">
        <v>190</v>
      </c>
      <c r="D5" s="3" t="s">
        <v>252</v>
      </c>
      <c r="E5" s="3" t="s">
        <v>75</v>
      </c>
      <c r="F5" s="3" t="s">
        <v>69</v>
      </c>
      <c r="G5" s="12">
        <v>45639</v>
      </c>
      <c r="H5" s="3">
        <v>12</v>
      </c>
      <c r="I5" s="3">
        <v>4674.75</v>
      </c>
      <c r="J5" s="2" t="str" cm="1">
        <f t="array" ref="J5">_xlfn.IFS(I5="","review",H5&lt;=0,"review",H5&gt;=100,"review",TRUE,"Ok")</f>
        <v>Ok</v>
      </c>
      <c r="K5" s="3">
        <v>0.16</v>
      </c>
      <c r="L5" s="3">
        <v>3476.23</v>
      </c>
      <c r="M5" s="3" t="s">
        <v>81</v>
      </c>
    </row>
    <row r="6" spans="1:13">
      <c r="A6" s="2" t="s">
        <v>564</v>
      </c>
      <c r="B6" s="2" t="s">
        <v>556</v>
      </c>
      <c r="C6" s="2" t="s">
        <v>167</v>
      </c>
      <c r="D6" s="2" t="s">
        <v>112</v>
      </c>
      <c r="E6" s="2" t="s">
        <v>257</v>
      </c>
      <c r="F6" s="2" t="s">
        <v>69</v>
      </c>
      <c r="G6" s="11">
        <v>45639</v>
      </c>
      <c r="H6" s="2">
        <v>17</v>
      </c>
      <c r="I6" s="2">
        <v>2083.44</v>
      </c>
      <c r="J6" s="2" t="str" cm="1">
        <f t="array" ref="J6">_xlfn.IFS(I6="","review",H6&lt;=0,"review",H6&gt;=100,"review",TRUE,"Ok")</f>
        <v>Ok</v>
      </c>
      <c r="K6" s="2">
        <v>0.33</v>
      </c>
      <c r="L6" s="2">
        <v>1106.99</v>
      </c>
      <c r="M6" s="2" t="s">
        <v>76</v>
      </c>
    </row>
    <row r="7" spans="1:13">
      <c r="A7" s="2" t="s">
        <v>579</v>
      </c>
      <c r="B7" s="2" t="s">
        <v>254</v>
      </c>
      <c r="C7" s="2" t="s">
        <v>190</v>
      </c>
      <c r="D7" s="2" t="s">
        <v>112</v>
      </c>
      <c r="E7" s="2" t="s">
        <v>257</v>
      </c>
      <c r="F7" s="2" t="s">
        <v>69</v>
      </c>
      <c r="G7" s="11">
        <v>45629</v>
      </c>
      <c r="H7" s="2">
        <v>3</v>
      </c>
      <c r="I7" s="2">
        <v>3850.52</v>
      </c>
      <c r="J7" s="2" t="str" cm="1">
        <f t="array" ref="J7">_xlfn.IFS(I7="","review",H7&lt;=0,"review",H7&gt;=100,"review",TRUE,"Ok")</f>
        <v>Ok</v>
      </c>
      <c r="K7" s="2">
        <v>0.16</v>
      </c>
      <c r="L7" s="2">
        <v>2681</v>
      </c>
      <c r="M7" s="2" t="s">
        <v>63</v>
      </c>
    </row>
    <row r="8" spans="1:13">
      <c r="A8" s="2" t="s">
        <v>573</v>
      </c>
      <c r="B8" s="2" t="s">
        <v>566</v>
      </c>
      <c r="C8" s="2" t="s">
        <v>59</v>
      </c>
      <c r="D8" s="2" t="s">
        <v>85</v>
      </c>
      <c r="E8" s="2" t="s">
        <v>122</v>
      </c>
      <c r="F8" s="2" t="s">
        <v>123</v>
      </c>
      <c r="G8" s="11">
        <v>45613</v>
      </c>
      <c r="H8" s="2">
        <v>13</v>
      </c>
      <c r="I8" s="2">
        <v>2355.87</v>
      </c>
      <c r="J8" s="2" t="str" cm="1">
        <f t="array" ref="J8">_xlfn.IFS(I8="","review",H8&lt;=0,"review",H8&gt;=100,"review",TRUE,"Ok")</f>
        <v>Ok</v>
      </c>
      <c r="K8" s="2">
        <v>0.2</v>
      </c>
      <c r="L8" s="2">
        <v>1186.9000000000001</v>
      </c>
      <c r="M8" s="2" t="s">
        <v>70</v>
      </c>
    </row>
    <row r="9" spans="1:13">
      <c r="A9" s="2" t="s">
        <v>136</v>
      </c>
      <c r="B9" s="2" t="s">
        <v>137</v>
      </c>
      <c r="C9" s="2" t="s">
        <v>73</v>
      </c>
      <c r="D9" s="2" t="s">
        <v>138</v>
      </c>
      <c r="E9" s="2" t="s">
        <v>75</v>
      </c>
      <c r="F9" s="2" t="s">
        <v>69</v>
      </c>
      <c r="G9" s="11">
        <v>45604</v>
      </c>
      <c r="H9" s="2">
        <v>18</v>
      </c>
      <c r="I9" s="2">
        <v>4758.29</v>
      </c>
      <c r="J9" s="2" t="str" cm="1">
        <f t="array" ref="J9">_xlfn.IFS(I9="","review",H9&lt;=0,"review",H9&gt;=100,"review",TRUE,"Ok")</f>
        <v>Ok</v>
      </c>
      <c r="K9" s="2">
        <v>0.27</v>
      </c>
      <c r="L9" s="2">
        <v>2429.81</v>
      </c>
      <c r="M9" s="2" t="s">
        <v>98</v>
      </c>
    </row>
    <row r="10" spans="1:13">
      <c r="A10" s="2" t="s">
        <v>168</v>
      </c>
      <c r="B10" s="2" t="s">
        <v>1264</v>
      </c>
      <c r="C10" s="2" t="s">
        <v>120</v>
      </c>
      <c r="D10" s="2" t="s">
        <v>116</v>
      </c>
      <c r="E10" s="2" t="s">
        <v>117</v>
      </c>
      <c r="F10" s="2" t="s">
        <v>62</v>
      </c>
      <c r="G10" s="11">
        <v>45602</v>
      </c>
      <c r="H10" s="2">
        <v>4</v>
      </c>
      <c r="I10" s="2">
        <v>3706.29</v>
      </c>
      <c r="J10" s="2" t="str" cm="1">
        <f t="array" ref="J10">_xlfn.IFS(I10="","review",H10&lt;=0,"review",H10&gt;=100,"review",TRUE,"Ok")</f>
        <v>Ok</v>
      </c>
      <c r="K10" s="2">
        <v>0.09</v>
      </c>
      <c r="L10" s="2">
        <v>1729.69</v>
      </c>
      <c r="M10" s="2" t="s">
        <v>76</v>
      </c>
    </row>
    <row r="11" spans="1:13">
      <c r="A11" s="2" t="s">
        <v>1251</v>
      </c>
      <c r="B11" s="2" t="s">
        <v>186</v>
      </c>
      <c r="C11" s="2" t="s">
        <v>120</v>
      </c>
      <c r="D11" s="2" t="s">
        <v>187</v>
      </c>
      <c r="E11" s="2" t="s">
        <v>188</v>
      </c>
      <c r="F11" s="2" t="s">
        <v>135</v>
      </c>
      <c r="G11" s="11">
        <v>45601</v>
      </c>
      <c r="H11" s="2">
        <v>5</v>
      </c>
      <c r="I11" s="2">
        <v>813.55</v>
      </c>
      <c r="J11" s="2" t="str" cm="1">
        <f t="array" ref="J11">_xlfn.IFS(I11="","review",H11&lt;=0,"review",H11&gt;=100,"review",TRUE,"Ok")</f>
        <v>Ok</v>
      </c>
      <c r="K11" s="2">
        <v>0.15</v>
      </c>
      <c r="L11" s="2">
        <v>441.31</v>
      </c>
      <c r="M11" s="2" t="s">
        <v>76</v>
      </c>
    </row>
    <row r="12" spans="1:13">
      <c r="A12" s="2" t="s">
        <v>576</v>
      </c>
      <c r="B12" s="2" t="s">
        <v>569</v>
      </c>
      <c r="C12" s="3" t="s">
        <v>167</v>
      </c>
      <c r="D12" s="3" t="s">
        <v>85</v>
      </c>
      <c r="E12" s="3" t="s">
        <v>142</v>
      </c>
      <c r="F12" s="3" t="s">
        <v>69</v>
      </c>
      <c r="G12" s="12">
        <v>45593</v>
      </c>
      <c r="H12" s="3">
        <v>20</v>
      </c>
      <c r="I12" s="3">
        <v>4153.82</v>
      </c>
      <c r="J12" s="2" t="str" cm="1">
        <f t="array" ref="J12">_xlfn.IFS(I12="","review",H12&lt;=0,"review",H12&gt;=100,"review",TRUE,"Ok")</f>
        <v>Ok</v>
      </c>
      <c r="K12" s="3">
        <v>0.13</v>
      </c>
      <c r="L12" s="3">
        <v>2127.37</v>
      </c>
      <c r="M12" s="3" t="s">
        <v>70</v>
      </c>
    </row>
    <row r="13" spans="1:13">
      <c r="A13" s="2" t="s">
        <v>258</v>
      </c>
      <c r="B13" s="2" t="s">
        <v>259</v>
      </c>
      <c r="C13" s="2" t="s">
        <v>59</v>
      </c>
      <c r="D13" s="2" t="s">
        <v>260</v>
      </c>
      <c r="E13" s="2" t="s">
        <v>261</v>
      </c>
      <c r="F13" s="2" t="s">
        <v>62</v>
      </c>
      <c r="G13" s="11">
        <v>45590</v>
      </c>
      <c r="H13" s="2">
        <v>7</v>
      </c>
      <c r="I13" s="2">
        <v>3043.08</v>
      </c>
      <c r="J13" s="2" t="str" cm="1">
        <f t="array" ref="J13">_xlfn.IFS(I13="","review",H13&lt;=0,"review",H13&gt;=100,"review",TRUE,"Ok")</f>
        <v>Ok</v>
      </c>
      <c r="K13" s="2">
        <v>0.16</v>
      </c>
      <c r="L13" s="2">
        <v>2154.7600000000002</v>
      </c>
      <c r="M13" s="2" t="s">
        <v>70</v>
      </c>
    </row>
    <row r="14" spans="1:13">
      <c r="A14" s="2" t="s">
        <v>444</v>
      </c>
      <c r="B14" s="2" t="s">
        <v>387</v>
      </c>
      <c r="C14" s="3" t="s">
        <v>73</v>
      </c>
      <c r="D14" s="3" t="s">
        <v>334</v>
      </c>
      <c r="E14" s="3" t="s">
        <v>239</v>
      </c>
      <c r="F14" s="3" t="s">
        <v>135</v>
      </c>
      <c r="G14" s="12">
        <v>45589</v>
      </c>
      <c r="H14" s="3">
        <v>13</v>
      </c>
      <c r="I14" s="3">
        <v>1402.42</v>
      </c>
      <c r="J14" s="2" t="str" cm="1">
        <f t="array" ref="J14">_xlfn.IFS(I14="","review",H14&lt;=0,"review",H14&gt;=100,"review",TRUE,"Ok")</f>
        <v>Ok</v>
      </c>
      <c r="K14" s="3">
        <v>0.34</v>
      </c>
      <c r="L14" s="3">
        <v>904.02</v>
      </c>
      <c r="M14" s="3" t="s">
        <v>81</v>
      </c>
    </row>
    <row r="15" spans="1:13">
      <c r="A15" s="2" t="s">
        <v>128</v>
      </c>
      <c r="B15" s="2" t="s">
        <v>129</v>
      </c>
      <c r="C15" s="2" t="s">
        <v>130</v>
      </c>
      <c r="D15" s="2" t="s">
        <v>131</v>
      </c>
      <c r="E15" s="2" t="s">
        <v>122</v>
      </c>
      <c r="F15" s="2" t="s">
        <v>123</v>
      </c>
      <c r="G15" s="11">
        <v>45582</v>
      </c>
      <c r="H15" s="2">
        <v>4</v>
      </c>
      <c r="I15" s="2">
        <v>140.24</v>
      </c>
      <c r="J15" s="2" t="str" cm="1">
        <f t="array" ref="J15">_xlfn.IFS(I15="","review",H15&lt;=0,"review",H15&gt;=100,"review",TRUE,"Ok")</f>
        <v>Ok</v>
      </c>
      <c r="K15" s="2">
        <v>0.03</v>
      </c>
      <c r="L15" s="2">
        <v>97.98</v>
      </c>
      <c r="M15" s="2" t="s">
        <v>81</v>
      </c>
    </row>
    <row r="16" spans="1:13">
      <c r="A16" s="2" t="s">
        <v>359</v>
      </c>
      <c r="B16" s="2" t="s">
        <v>94</v>
      </c>
      <c r="C16" s="2" t="s">
        <v>167</v>
      </c>
      <c r="D16" s="2" t="s">
        <v>344</v>
      </c>
      <c r="E16" s="2" t="s">
        <v>86</v>
      </c>
      <c r="F16" s="2" t="s">
        <v>87</v>
      </c>
      <c r="G16" s="11">
        <v>45581</v>
      </c>
      <c r="H16" s="2">
        <v>2</v>
      </c>
      <c r="I16" s="2">
        <v>2524.15</v>
      </c>
      <c r="J16" s="2" t="str" cm="1">
        <f t="array" ref="J16">_xlfn.IFS(I16="","review",H16&lt;=0,"review",H16&gt;=100,"review",TRUE,"Ok")</f>
        <v>Ok</v>
      </c>
      <c r="K16" s="2">
        <v>0.28999999999999998</v>
      </c>
      <c r="L16" s="2">
        <v>1692.6</v>
      </c>
      <c r="M16" s="2" t="s">
        <v>98</v>
      </c>
    </row>
    <row r="17" spans="1:13">
      <c r="A17" s="2" t="s">
        <v>412</v>
      </c>
      <c r="B17" s="2" t="s">
        <v>170</v>
      </c>
      <c r="C17" s="3" t="s">
        <v>190</v>
      </c>
      <c r="D17" s="3" t="s">
        <v>116</v>
      </c>
      <c r="E17" s="3" t="s">
        <v>113</v>
      </c>
      <c r="F17" s="3" t="s">
        <v>62</v>
      </c>
      <c r="G17" s="12">
        <v>45579</v>
      </c>
      <c r="H17" s="3">
        <v>11</v>
      </c>
      <c r="I17" s="3">
        <v>3231.84</v>
      </c>
      <c r="J17" s="2" t="str" cm="1">
        <f t="array" ref="J17">_xlfn.IFS(I17="","review",H17&lt;=0,"review",H17&gt;=100,"review",TRUE,"Ok")</f>
        <v>Ok</v>
      </c>
      <c r="K17" s="3">
        <v>0.15</v>
      </c>
      <c r="L17" s="3">
        <v>2040.88</v>
      </c>
      <c r="M17" s="3" t="s">
        <v>63</v>
      </c>
    </row>
    <row r="18" spans="1:13">
      <c r="A18" s="2" t="s">
        <v>251</v>
      </c>
      <c r="B18" s="2" t="s">
        <v>225</v>
      </c>
      <c r="C18" s="3" t="s">
        <v>73</v>
      </c>
      <c r="D18" s="3" t="s">
        <v>252</v>
      </c>
      <c r="E18" s="3" t="s">
        <v>86</v>
      </c>
      <c r="F18" s="3" t="s">
        <v>87</v>
      </c>
      <c r="G18" s="12">
        <v>45576</v>
      </c>
      <c r="H18" s="3">
        <v>4</v>
      </c>
      <c r="I18" s="3">
        <v>2122.37</v>
      </c>
      <c r="J18" s="2" t="str" cm="1">
        <f t="array" ref="J18">_xlfn.IFS(I18="","review",H18&lt;=0,"review",H18&gt;=100,"review",TRUE,"Ok")</f>
        <v>Ok</v>
      </c>
      <c r="K18" s="3">
        <v>7.0000000000000007E-2</v>
      </c>
      <c r="L18" s="3">
        <v>1568.95</v>
      </c>
      <c r="M18" s="3" t="s">
        <v>81</v>
      </c>
    </row>
    <row r="19" spans="1:13">
      <c r="A19" s="2" t="s">
        <v>489</v>
      </c>
      <c r="B19" s="2" t="s">
        <v>236</v>
      </c>
      <c r="C19" s="2" t="s">
        <v>73</v>
      </c>
      <c r="D19" s="2" t="s">
        <v>131</v>
      </c>
      <c r="E19" s="2" t="s">
        <v>208</v>
      </c>
      <c r="F19" s="2" t="s">
        <v>198</v>
      </c>
      <c r="G19" s="11">
        <v>45570</v>
      </c>
      <c r="H19" s="2">
        <v>7</v>
      </c>
      <c r="I19" s="2">
        <v>4250.91</v>
      </c>
      <c r="J19" s="2" t="str" cm="1">
        <f t="array" ref="J19">_xlfn.IFS(I19="","review",H19&lt;=0,"review",H19&gt;=100,"review",TRUE,"Ok")</f>
        <v>Ok</v>
      </c>
      <c r="K19" s="2">
        <v>0.04</v>
      </c>
      <c r="L19" s="2">
        <v>2581.08</v>
      </c>
      <c r="M19" s="2" t="s">
        <v>98</v>
      </c>
    </row>
    <row r="20" spans="1:13">
      <c r="A20" s="2" t="s">
        <v>202</v>
      </c>
      <c r="B20" s="2" t="s">
        <v>203</v>
      </c>
      <c r="C20" s="3" t="s">
        <v>190</v>
      </c>
      <c r="D20" s="3" t="s">
        <v>101</v>
      </c>
      <c r="E20" s="3" t="s">
        <v>75</v>
      </c>
      <c r="F20" s="3" t="s">
        <v>69</v>
      </c>
      <c r="G20" s="12">
        <v>45564</v>
      </c>
      <c r="H20" s="3">
        <v>3</v>
      </c>
      <c r="I20" s="3">
        <v>3619.86</v>
      </c>
      <c r="J20" s="2" t="str" cm="1">
        <f t="array" ref="J20">_xlfn.IFS(I20="","review",H20&lt;=0,"review",H20&gt;=100,"review",TRUE,"Ok")</f>
        <v>Ok</v>
      </c>
      <c r="K20" s="3">
        <v>0.11</v>
      </c>
      <c r="L20" s="3">
        <v>1708.24</v>
      </c>
      <c r="M20" s="3" t="s">
        <v>98</v>
      </c>
    </row>
    <row r="21" spans="1:13">
      <c r="A21" s="2" t="s">
        <v>503</v>
      </c>
      <c r="B21" s="2" t="s">
        <v>317</v>
      </c>
      <c r="C21" s="2" t="s">
        <v>95</v>
      </c>
      <c r="D21" s="2" t="s">
        <v>252</v>
      </c>
      <c r="E21" s="2" t="s">
        <v>109</v>
      </c>
      <c r="F21" s="2" t="s">
        <v>69</v>
      </c>
      <c r="G21" s="11">
        <v>45564</v>
      </c>
      <c r="H21" s="2">
        <v>20</v>
      </c>
      <c r="I21" s="2">
        <v>2247.5</v>
      </c>
      <c r="J21" s="2" t="str" cm="1">
        <f t="array" ref="J21">_xlfn.IFS(I21="","review",H21&lt;=0,"review",H21&gt;=100,"review",TRUE,"Ok")</f>
        <v>Ok</v>
      </c>
      <c r="K21" s="2">
        <v>0.26</v>
      </c>
      <c r="L21" s="2">
        <v>1052.1300000000001</v>
      </c>
      <c r="M21" s="2" t="s">
        <v>63</v>
      </c>
    </row>
    <row r="22" spans="1:13">
      <c r="A22" s="2" t="s">
        <v>298</v>
      </c>
      <c r="B22" s="2" t="s">
        <v>106</v>
      </c>
      <c r="C22" s="3" t="s">
        <v>167</v>
      </c>
      <c r="D22" s="3" t="s">
        <v>131</v>
      </c>
      <c r="E22" s="3" t="s">
        <v>299</v>
      </c>
      <c r="F22" s="3" t="s">
        <v>87</v>
      </c>
      <c r="G22" s="12">
        <v>45561</v>
      </c>
      <c r="H22" s="3">
        <v>6</v>
      </c>
      <c r="I22" s="3">
        <v>1901.11</v>
      </c>
      <c r="J22" s="2" t="str" cm="1">
        <f t="array" ref="J22">_xlfn.IFS(I22="","review",H22&lt;=0,"review",H22&gt;=100,"review",TRUE,"Ok")</f>
        <v>Ok</v>
      </c>
      <c r="K22" s="3">
        <v>0.02</v>
      </c>
      <c r="L22" s="3">
        <v>1206.21</v>
      </c>
      <c r="M22" s="3" t="s">
        <v>76</v>
      </c>
    </row>
    <row r="23" spans="1:13">
      <c r="A23" s="2" t="s">
        <v>57</v>
      </c>
      <c r="B23" s="2" t="s">
        <v>58</v>
      </c>
      <c r="C23" s="2" t="s">
        <v>59</v>
      </c>
      <c r="D23" s="2" t="s">
        <v>60</v>
      </c>
      <c r="E23" s="2" t="s">
        <v>61</v>
      </c>
      <c r="F23" s="2" t="s">
        <v>62</v>
      </c>
      <c r="G23" s="11">
        <v>45554</v>
      </c>
      <c r="H23" s="2">
        <v>5</v>
      </c>
      <c r="I23" s="2">
        <v>688.31</v>
      </c>
      <c r="J23" s="2" t="str" cm="1">
        <f t="array" ref="J23">_xlfn.IFS(I23="","review",H23&lt;=0,"review",H23&gt;=100,"review",TRUE,"Ok")</f>
        <v>Ok</v>
      </c>
      <c r="K23" s="2">
        <v>0.1</v>
      </c>
      <c r="L23" s="2">
        <v>454.69</v>
      </c>
      <c r="M23" s="2" t="s">
        <v>63</v>
      </c>
    </row>
    <row r="24" spans="1:13">
      <c r="A24" s="2" t="s">
        <v>209</v>
      </c>
      <c r="B24" s="2" t="s">
        <v>210</v>
      </c>
      <c r="C24" s="2" t="s">
        <v>66</v>
      </c>
      <c r="D24" s="2" t="s">
        <v>207</v>
      </c>
      <c r="E24" s="2" t="s">
        <v>91</v>
      </c>
      <c r="F24" s="2" t="s">
        <v>92</v>
      </c>
      <c r="G24" s="11">
        <v>45553</v>
      </c>
      <c r="H24" s="2">
        <v>12</v>
      </c>
      <c r="I24" s="2">
        <v>3611.95</v>
      </c>
      <c r="J24" s="2" t="str" cm="1">
        <f t="array" ref="J24">_xlfn.IFS(I24="","review",H24&lt;=0,"review",H24&gt;=100,"review",TRUE,"Ok")</f>
        <v>Ok</v>
      </c>
      <c r="K24" s="2">
        <v>0.14000000000000001</v>
      </c>
      <c r="L24" s="2">
        <v>2211.77</v>
      </c>
      <c r="M24" s="2" t="s">
        <v>70</v>
      </c>
    </row>
    <row r="25" spans="1:13">
      <c r="A25" s="2" t="s">
        <v>394</v>
      </c>
      <c r="B25" s="2" t="s">
        <v>186</v>
      </c>
      <c r="C25" s="3" t="s">
        <v>107</v>
      </c>
      <c r="D25" s="3" t="s">
        <v>67</v>
      </c>
      <c r="E25" s="3" t="s">
        <v>172</v>
      </c>
      <c r="F25" s="3" t="s">
        <v>62</v>
      </c>
      <c r="G25" s="12">
        <v>45551</v>
      </c>
      <c r="H25" s="3">
        <v>2</v>
      </c>
      <c r="I25" s="3">
        <v>1897.85</v>
      </c>
      <c r="J25" s="2" t="str" cm="1">
        <f t="array" ref="J25">_xlfn.IFS(I25="","review",H25&lt;=0,"review",H25&gt;=100,"review",TRUE,"Ok")</f>
        <v>Ok</v>
      </c>
      <c r="K25" s="3">
        <v>0.02</v>
      </c>
      <c r="L25" s="3">
        <v>1091.17</v>
      </c>
      <c r="M25" s="3" t="s">
        <v>70</v>
      </c>
    </row>
    <row r="26" spans="1:13">
      <c r="A26" s="2" t="s">
        <v>147</v>
      </c>
      <c r="B26" s="2" t="s">
        <v>137</v>
      </c>
      <c r="C26" s="3" t="s">
        <v>95</v>
      </c>
      <c r="D26" s="3" t="s">
        <v>148</v>
      </c>
      <c r="E26" s="3" t="s">
        <v>149</v>
      </c>
      <c r="F26" s="3" t="s">
        <v>92</v>
      </c>
      <c r="G26" s="12">
        <v>45550</v>
      </c>
      <c r="H26" s="3">
        <v>15</v>
      </c>
      <c r="I26" s="3">
        <v>1000.43</v>
      </c>
      <c r="J26" s="2" t="str" cm="1">
        <f t="array" ref="J26">_xlfn.IFS(I26="","review",H26&lt;=0,"review",H26&gt;=100,"review",TRUE,"Ok")</f>
        <v>Ok</v>
      </c>
      <c r="K26" s="3">
        <v>0.2</v>
      </c>
      <c r="L26" s="3">
        <v>706.65</v>
      </c>
      <c r="M26" s="3" t="s">
        <v>98</v>
      </c>
    </row>
    <row r="27" spans="1:13">
      <c r="A27" s="2" t="s">
        <v>447</v>
      </c>
      <c r="B27" s="2" t="s">
        <v>435</v>
      </c>
      <c r="C27" s="3" t="s">
        <v>190</v>
      </c>
      <c r="D27" s="3" t="s">
        <v>196</v>
      </c>
      <c r="E27" s="3" t="s">
        <v>216</v>
      </c>
      <c r="F27" s="3" t="s">
        <v>135</v>
      </c>
      <c r="G27" s="12">
        <v>45548</v>
      </c>
      <c r="H27" s="3">
        <v>13</v>
      </c>
      <c r="I27" s="3">
        <v>2226.6999999999998</v>
      </c>
      <c r="J27" s="2" t="str" cm="1">
        <f t="array" ref="J27">_xlfn.IFS(I27="","review",H27&lt;=0,"review",H27&gt;=100,"review",TRUE,"Ok")</f>
        <v>Ok</v>
      </c>
      <c r="K27" s="3">
        <v>0.34</v>
      </c>
      <c r="L27" s="3">
        <v>1313.31</v>
      </c>
      <c r="M27" s="3" t="s">
        <v>70</v>
      </c>
    </row>
    <row r="28" spans="1:13">
      <c r="A28" s="2" t="s">
        <v>585</v>
      </c>
      <c r="B28" s="2" t="s">
        <v>514</v>
      </c>
      <c r="C28" s="3" t="s">
        <v>59</v>
      </c>
      <c r="D28" s="3" t="s">
        <v>355</v>
      </c>
      <c r="E28" s="3" t="s">
        <v>86</v>
      </c>
      <c r="F28" s="3" t="s">
        <v>87</v>
      </c>
      <c r="G28" s="12">
        <v>45542</v>
      </c>
      <c r="H28" s="3">
        <v>10</v>
      </c>
      <c r="I28" s="3">
        <v>2614.61</v>
      </c>
      <c r="J28" s="2" t="str" cm="1">
        <f t="array" ref="J28">_xlfn.IFS(I28="","review",H28&lt;=0,"review",H28&gt;=100,"review",TRUE,"Ok")</f>
        <v>Ok</v>
      </c>
      <c r="K28" s="3">
        <v>0.27</v>
      </c>
      <c r="L28" s="3">
        <v>1842.86</v>
      </c>
      <c r="M28" s="3" t="s">
        <v>63</v>
      </c>
    </row>
    <row r="29" spans="1:13">
      <c r="A29" s="2" t="s">
        <v>568</v>
      </c>
      <c r="B29" s="2" t="s">
        <v>569</v>
      </c>
      <c r="C29" s="3" t="s">
        <v>84</v>
      </c>
      <c r="D29" s="3" t="s">
        <v>408</v>
      </c>
      <c r="E29" s="3" t="s">
        <v>180</v>
      </c>
      <c r="F29" s="3" t="s">
        <v>123</v>
      </c>
      <c r="G29" s="12">
        <v>45537</v>
      </c>
      <c r="H29" s="3">
        <v>12</v>
      </c>
      <c r="I29" s="3">
        <v>670.37</v>
      </c>
      <c r="J29" s="2" t="str" cm="1">
        <f t="array" ref="J29">_xlfn.IFS(I29="","review",H29&lt;=0,"review",H29&gt;=100,"review",TRUE,"Ok")</f>
        <v>Ok</v>
      </c>
      <c r="K29" s="3">
        <v>0.16</v>
      </c>
      <c r="L29" s="3">
        <v>358.05</v>
      </c>
      <c r="M29" s="3" t="s">
        <v>70</v>
      </c>
    </row>
    <row r="30" spans="1:13">
      <c r="A30" s="2" t="s">
        <v>242</v>
      </c>
      <c r="B30" s="2" t="s">
        <v>83</v>
      </c>
      <c r="C30" s="3" t="s">
        <v>95</v>
      </c>
      <c r="D30" s="3" t="s">
        <v>243</v>
      </c>
      <c r="E30" s="3" t="s">
        <v>86</v>
      </c>
      <c r="F30" s="3" t="s">
        <v>87</v>
      </c>
      <c r="G30" s="12">
        <v>45530</v>
      </c>
      <c r="H30" s="3">
        <v>10</v>
      </c>
      <c r="I30" s="3">
        <v>2230.96</v>
      </c>
      <c r="J30" s="2" t="str" cm="1">
        <f t="array" ref="J30">_xlfn.IFS(I30="","review",H30&lt;=0,"review",H30&gt;=100,"review",TRUE,"Ok")</f>
        <v>Ok</v>
      </c>
      <c r="K30" s="3">
        <v>0.32</v>
      </c>
      <c r="L30" s="3">
        <v>1304.1300000000001</v>
      </c>
      <c r="M30" s="3" t="s">
        <v>76</v>
      </c>
    </row>
    <row r="31" spans="1:13">
      <c r="A31" s="2" t="s">
        <v>150</v>
      </c>
      <c r="B31" s="2" t="s">
        <v>151</v>
      </c>
      <c r="C31" s="2" t="s">
        <v>73</v>
      </c>
      <c r="D31" s="2" t="s">
        <v>79</v>
      </c>
      <c r="E31" s="2" t="s">
        <v>152</v>
      </c>
      <c r="F31" s="2" t="s">
        <v>92</v>
      </c>
      <c r="G31" s="11">
        <v>45529</v>
      </c>
      <c r="H31" s="2">
        <v>8</v>
      </c>
      <c r="I31" s="2">
        <v>4999.88</v>
      </c>
      <c r="J31" s="2" t="str" cm="1">
        <f t="array" ref="J31">_xlfn.IFS(I31="","review",H31&lt;=0,"review",H31&gt;=100,"review",TRUE,"Ok")</f>
        <v>Ok</v>
      </c>
      <c r="K31" s="2">
        <v>0.22</v>
      </c>
      <c r="L31" s="2">
        <v>2912.69</v>
      </c>
      <c r="M31" s="2" t="s">
        <v>70</v>
      </c>
    </row>
    <row r="32" spans="1:13">
      <c r="A32" s="2" t="s">
        <v>475</v>
      </c>
      <c r="B32" s="2" t="s">
        <v>476</v>
      </c>
      <c r="C32" s="3" t="s">
        <v>120</v>
      </c>
      <c r="D32" s="3" t="s">
        <v>294</v>
      </c>
      <c r="E32" s="3" t="s">
        <v>385</v>
      </c>
      <c r="F32" s="3" t="s">
        <v>135</v>
      </c>
      <c r="G32" s="12">
        <v>45527</v>
      </c>
      <c r="H32" s="3">
        <v>3</v>
      </c>
      <c r="I32" s="3">
        <v>3647.73</v>
      </c>
      <c r="J32" s="2" t="str" cm="1">
        <f t="array" ref="J32">_xlfn.IFS(I32="","review",H32&lt;=0,"review",H32&gt;=100,"review",TRUE,"Ok")</f>
        <v>Ok</v>
      </c>
      <c r="K32" s="3">
        <v>0.26</v>
      </c>
      <c r="L32" s="3">
        <v>2476.84</v>
      </c>
      <c r="M32" s="3" t="s">
        <v>76</v>
      </c>
    </row>
    <row r="33" spans="1:13">
      <c r="A33" s="2" t="s">
        <v>284</v>
      </c>
      <c r="B33" s="2" t="s">
        <v>178</v>
      </c>
      <c r="C33" s="2" t="s">
        <v>95</v>
      </c>
      <c r="D33" s="2" t="s">
        <v>175</v>
      </c>
      <c r="E33" s="2" t="s">
        <v>86</v>
      </c>
      <c r="F33" s="2" t="s">
        <v>87</v>
      </c>
      <c r="G33" s="11">
        <v>45523</v>
      </c>
      <c r="H33" s="2">
        <v>14</v>
      </c>
      <c r="I33" s="2">
        <v>2591.1</v>
      </c>
      <c r="J33" s="2" t="str" cm="1">
        <f t="array" ref="J33">_xlfn.IFS(I33="","review",H33&lt;=0,"review",H33&gt;=100,"review",TRUE,"Ok")</f>
        <v>Ok</v>
      </c>
      <c r="K33" s="2">
        <v>0.24</v>
      </c>
      <c r="L33" s="2">
        <v>1460.82</v>
      </c>
      <c r="M33" s="2" t="s">
        <v>63</v>
      </c>
    </row>
    <row r="34" spans="1:13">
      <c r="A34" s="2" t="s">
        <v>453</v>
      </c>
      <c r="B34" s="2" t="s">
        <v>250</v>
      </c>
      <c r="C34" s="3" t="s">
        <v>120</v>
      </c>
      <c r="D34" s="3" t="s">
        <v>74</v>
      </c>
      <c r="E34" s="3" t="s">
        <v>220</v>
      </c>
      <c r="F34" s="3" t="s">
        <v>87</v>
      </c>
      <c r="G34" s="12">
        <v>45521</v>
      </c>
      <c r="H34" s="3">
        <v>20</v>
      </c>
      <c r="I34" s="3">
        <v>3475.74</v>
      </c>
      <c r="J34" s="2" t="str" cm="1">
        <f t="array" ref="J34">_xlfn.IFS(I34="","review",H34&lt;=0,"review",H34&gt;=100,"review",TRUE,"Ok")</f>
        <v>Ok</v>
      </c>
      <c r="K34" s="3">
        <v>0.17</v>
      </c>
      <c r="L34" s="3">
        <v>1898</v>
      </c>
      <c r="M34" s="3" t="s">
        <v>63</v>
      </c>
    </row>
    <row r="35" spans="1:13">
      <c r="A35" s="2" t="s">
        <v>370</v>
      </c>
      <c r="B35" s="2" t="s">
        <v>210</v>
      </c>
      <c r="C35" s="2" t="s">
        <v>73</v>
      </c>
      <c r="D35" s="2" t="s">
        <v>175</v>
      </c>
      <c r="E35" s="2" t="s">
        <v>246</v>
      </c>
      <c r="F35" s="2" t="s">
        <v>198</v>
      </c>
      <c r="G35" s="11">
        <v>45514</v>
      </c>
      <c r="H35" s="2">
        <v>14</v>
      </c>
      <c r="I35" s="2">
        <v>2874.79</v>
      </c>
      <c r="J35" s="2" t="str" cm="1">
        <f t="array" ref="J35">_xlfn.IFS(I35="","review",H35&lt;=0,"review",H35&gt;=100,"review",TRUE,"Ok")</f>
        <v>Ok</v>
      </c>
      <c r="K35" s="2">
        <v>0.12</v>
      </c>
      <c r="L35" s="2">
        <v>1745.97</v>
      </c>
      <c r="M35" s="2" t="s">
        <v>63</v>
      </c>
    </row>
    <row r="36" spans="1:13">
      <c r="A36" s="2" t="s">
        <v>481</v>
      </c>
      <c r="B36" s="2" t="s">
        <v>393</v>
      </c>
      <c r="C36" s="2" t="s">
        <v>107</v>
      </c>
      <c r="D36" s="2" t="s">
        <v>104</v>
      </c>
      <c r="E36" s="2" t="s">
        <v>164</v>
      </c>
      <c r="F36" s="2" t="s">
        <v>123</v>
      </c>
      <c r="G36" s="11">
        <v>45512</v>
      </c>
      <c r="H36" s="2">
        <v>7</v>
      </c>
      <c r="I36" s="2">
        <v>3967.82</v>
      </c>
      <c r="J36" s="2" t="str" cm="1">
        <f t="array" ref="J36">_xlfn.IFS(I36="","review",H36&lt;=0,"review",H36&gt;=100,"review",TRUE,"Ok")</f>
        <v>Ok</v>
      </c>
      <c r="K36" s="2">
        <v>0.1</v>
      </c>
      <c r="L36" s="2">
        <v>2657.77</v>
      </c>
      <c r="M36" s="2" t="s">
        <v>76</v>
      </c>
    </row>
    <row r="37" spans="1:13">
      <c r="A37" s="2" t="s">
        <v>114</v>
      </c>
      <c r="B37" s="2" t="s">
        <v>115</v>
      </c>
      <c r="C37" s="3" t="s">
        <v>73</v>
      </c>
      <c r="D37" s="3" t="s">
        <v>116</v>
      </c>
      <c r="E37" s="3" t="s">
        <v>117</v>
      </c>
      <c r="F37" s="3" t="s">
        <v>62</v>
      </c>
      <c r="G37" s="12">
        <v>45507</v>
      </c>
      <c r="H37" s="3">
        <v>17</v>
      </c>
      <c r="I37" s="3">
        <v>512.59</v>
      </c>
      <c r="J37" s="2" t="str" cm="1">
        <f t="array" ref="J37">_xlfn.IFS(I37="","review",H37&lt;=0,"review",H37&gt;=100,"review",TRUE,"Ok")</f>
        <v>Ok</v>
      </c>
      <c r="K37" s="3">
        <v>0.32</v>
      </c>
      <c r="L37" s="3">
        <v>286.3</v>
      </c>
      <c r="M37" s="3" t="s">
        <v>98</v>
      </c>
    </row>
    <row r="38" spans="1:13">
      <c r="A38" s="2" t="s">
        <v>363</v>
      </c>
      <c r="B38" s="2" t="s">
        <v>364</v>
      </c>
      <c r="C38" s="3" t="s">
        <v>130</v>
      </c>
      <c r="D38" s="3" t="s">
        <v>67</v>
      </c>
      <c r="E38" s="3" t="s">
        <v>164</v>
      </c>
      <c r="F38" s="3" t="s">
        <v>123</v>
      </c>
      <c r="G38" s="12">
        <v>45506</v>
      </c>
      <c r="H38" s="3">
        <v>15</v>
      </c>
      <c r="I38" s="3">
        <v>2896.48</v>
      </c>
      <c r="J38" s="2" t="str" cm="1">
        <f t="array" ref="J38">_xlfn.IFS(I38="","review",H38&lt;=0,"review",H38&gt;=100,"review",TRUE,"Ok")</f>
        <v>Ok</v>
      </c>
      <c r="K38" s="3">
        <v>0.18</v>
      </c>
      <c r="L38" s="3">
        <v>1786.42</v>
      </c>
      <c r="M38" s="3" t="s">
        <v>98</v>
      </c>
    </row>
    <row r="39" spans="1:13">
      <c r="A39" s="2" t="s">
        <v>366</v>
      </c>
      <c r="B39" s="2" t="s">
        <v>266</v>
      </c>
      <c r="C39" s="3" t="s">
        <v>95</v>
      </c>
      <c r="D39" s="3" t="s">
        <v>306</v>
      </c>
      <c r="E39" s="3" t="s">
        <v>80</v>
      </c>
      <c r="F39" s="3" t="s">
        <v>62</v>
      </c>
      <c r="G39" s="12">
        <v>45503</v>
      </c>
      <c r="H39" s="3">
        <v>16</v>
      </c>
      <c r="I39" s="3">
        <v>1491.8</v>
      </c>
      <c r="J39" s="2" t="str" cm="1">
        <f t="array" ref="J39">_xlfn.IFS(I39="","review",H39&lt;=0,"review",H39&gt;=100,"review",TRUE,"Ok")</f>
        <v>Ok</v>
      </c>
      <c r="K39" s="3">
        <v>0.2</v>
      </c>
      <c r="L39" s="3">
        <v>825.45</v>
      </c>
      <c r="M39" s="3" t="s">
        <v>76</v>
      </c>
    </row>
    <row r="40" spans="1:13">
      <c r="A40" s="2" t="s">
        <v>581</v>
      </c>
      <c r="B40" s="2" t="s">
        <v>65</v>
      </c>
      <c r="C40" s="2" t="s">
        <v>107</v>
      </c>
      <c r="D40" s="2" t="s">
        <v>179</v>
      </c>
      <c r="E40" s="2" t="s">
        <v>75</v>
      </c>
      <c r="F40" s="2" t="s">
        <v>69</v>
      </c>
      <c r="G40" s="11">
        <v>45500</v>
      </c>
      <c r="H40" s="2">
        <v>4</v>
      </c>
      <c r="I40" s="2">
        <v>2539.1799999999998</v>
      </c>
      <c r="J40" s="2" t="str" cm="1">
        <f t="array" ref="J40">_xlfn.IFS(I40="","review",H40&lt;=0,"review",H40&gt;=100,"review",TRUE,"Ok")</f>
        <v>Ok</v>
      </c>
      <c r="K40" s="2">
        <v>0.24</v>
      </c>
      <c r="L40" s="2">
        <v>1370.61</v>
      </c>
      <c r="M40" s="2" t="s">
        <v>98</v>
      </c>
    </row>
    <row r="41" spans="1:13">
      <c r="A41" s="2" t="s">
        <v>157</v>
      </c>
      <c r="B41" s="2" t="s">
        <v>158</v>
      </c>
      <c r="C41" s="2" t="s">
        <v>73</v>
      </c>
      <c r="D41" s="2" t="s">
        <v>159</v>
      </c>
      <c r="E41" s="2" t="s">
        <v>156</v>
      </c>
      <c r="F41" s="2" t="s">
        <v>123</v>
      </c>
      <c r="G41" s="11">
        <v>45497</v>
      </c>
      <c r="H41" s="2">
        <v>11</v>
      </c>
      <c r="I41" s="4">
        <f>AVERAGE(I49:I236)</f>
        <v>2378.279749187353</v>
      </c>
      <c r="J41" s="2" t="str" cm="1">
        <f t="array" ref="J41">_xlfn.IFS(I41="","review",H41&lt;=0,"review",H41&gt;=100,"review",TRUE,"Ok")</f>
        <v>Ok</v>
      </c>
      <c r="K41" s="2">
        <v>0.31</v>
      </c>
      <c r="L41" s="2">
        <v>1007.04</v>
      </c>
      <c r="M41" s="2" t="s">
        <v>76</v>
      </c>
    </row>
    <row r="42" spans="1:13">
      <c r="A42" s="2" t="s">
        <v>273</v>
      </c>
      <c r="B42" s="2" t="s">
        <v>272</v>
      </c>
      <c r="C42" s="2" t="s">
        <v>130</v>
      </c>
      <c r="D42" s="2" t="s">
        <v>213</v>
      </c>
      <c r="E42" s="2" t="s">
        <v>164</v>
      </c>
      <c r="F42" s="2" t="s">
        <v>123</v>
      </c>
      <c r="G42" s="11">
        <v>45497</v>
      </c>
      <c r="H42" s="2">
        <v>18</v>
      </c>
      <c r="I42" s="2">
        <v>3571.43</v>
      </c>
      <c r="J42" s="2" t="str" cm="1">
        <f t="array" ref="J42">_xlfn.IFS(I42="","review",H42&lt;=0,"review",H42&gt;=100,"review",TRUE,"Ok")</f>
        <v>Ok</v>
      </c>
      <c r="K42" s="2">
        <v>0.08</v>
      </c>
      <c r="L42" s="2">
        <v>2501.6</v>
      </c>
      <c r="M42" s="2" t="s">
        <v>63</v>
      </c>
    </row>
    <row r="43" spans="1:13">
      <c r="A43" s="2" t="s">
        <v>386</v>
      </c>
      <c r="B43" s="2" t="s">
        <v>387</v>
      </c>
      <c r="C43" s="3" t="s">
        <v>107</v>
      </c>
      <c r="D43" s="3" t="s">
        <v>85</v>
      </c>
      <c r="E43" s="3" t="s">
        <v>325</v>
      </c>
      <c r="F43" s="3" t="s">
        <v>87</v>
      </c>
      <c r="G43" s="12">
        <v>45497</v>
      </c>
      <c r="H43" s="3">
        <v>19</v>
      </c>
      <c r="I43" s="3">
        <v>150.65</v>
      </c>
      <c r="J43" s="2" t="str" cm="1">
        <f t="array" ref="J43">_xlfn.IFS(I43="","review",H43&lt;=0,"review",H43&gt;=100,"review",TRUE,"Ok")</f>
        <v>Ok</v>
      </c>
      <c r="K43" s="3">
        <v>0.23</v>
      </c>
      <c r="L43" s="3">
        <v>74.319999999999993</v>
      </c>
      <c r="M43" s="3" t="s">
        <v>81</v>
      </c>
    </row>
    <row r="44" spans="1:13">
      <c r="A44" s="2" t="s">
        <v>221</v>
      </c>
      <c r="B44" s="2" t="s">
        <v>222</v>
      </c>
      <c r="C44" s="2" t="s">
        <v>167</v>
      </c>
      <c r="D44" s="2" t="s">
        <v>148</v>
      </c>
      <c r="E44" s="2" t="s">
        <v>223</v>
      </c>
      <c r="F44" s="2" t="s">
        <v>87</v>
      </c>
      <c r="G44" s="11">
        <v>45494</v>
      </c>
      <c r="H44" s="2">
        <v>19</v>
      </c>
      <c r="I44" s="2">
        <v>3929.81</v>
      </c>
      <c r="J44" s="2" t="str" cm="1">
        <f t="array" ref="J44">_xlfn.IFS(I44="","review",H44&lt;=0,"review",H44&gt;=100,"review",TRUE,"Ok")</f>
        <v>Ok</v>
      </c>
      <c r="K44" s="2">
        <v>0.08</v>
      </c>
      <c r="L44" s="2">
        <v>2324.96</v>
      </c>
      <c r="M44" s="2" t="s">
        <v>98</v>
      </c>
    </row>
    <row r="45" spans="1:13">
      <c r="A45" s="2" t="s">
        <v>466</v>
      </c>
      <c r="B45" s="2" t="s">
        <v>467</v>
      </c>
      <c r="C45" s="2" t="s">
        <v>66</v>
      </c>
      <c r="D45" s="2" t="s">
        <v>269</v>
      </c>
      <c r="E45" s="2" t="s">
        <v>201</v>
      </c>
      <c r="F45" s="2" t="s">
        <v>198</v>
      </c>
      <c r="G45" s="11">
        <v>45493</v>
      </c>
      <c r="H45" s="2">
        <v>3</v>
      </c>
      <c r="I45" s="2">
        <v>1673.2</v>
      </c>
      <c r="J45" s="2" t="str" cm="1">
        <f t="array" ref="J45">_xlfn.IFS(I45="","review",H45&lt;=0,"review",H45&gt;=100,"review",TRUE,"Ok")</f>
        <v>Ok</v>
      </c>
      <c r="K45" s="2">
        <v>0.27</v>
      </c>
      <c r="L45" s="2">
        <v>851.42</v>
      </c>
      <c r="M45" s="2" t="s">
        <v>81</v>
      </c>
    </row>
    <row r="46" spans="1:13">
      <c r="A46" s="2" t="s">
        <v>527</v>
      </c>
      <c r="B46" s="2" t="s">
        <v>1264</v>
      </c>
      <c r="C46" s="2" t="s">
        <v>59</v>
      </c>
      <c r="D46" s="2" t="s">
        <v>155</v>
      </c>
      <c r="E46" s="2" t="s">
        <v>229</v>
      </c>
      <c r="F46" s="2" t="s">
        <v>198</v>
      </c>
      <c r="G46" s="11">
        <v>45493</v>
      </c>
      <c r="H46" s="2">
        <v>2</v>
      </c>
      <c r="I46" s="2">
        <v>1040.8800000000001</v>
      </c>
      <c r="J46" s="2" t="str" cm="1">
        <f t="array" ref="J46">_xlfn.IFS(I46="","review",H46&lt;=0,"review",H46&gt;=100,"review",TRUE,"Ok")</f>
        <v>Ok</v>
      </c>
      <c r="K46" s="2">
        <v>0.26</v>
      </c>
      <c r="L46" s="2">
        <v>632.14</v>
      </c>
      <c r="M46" s="2" t="s">
        <v>63</v>
      </c>
    </row>
    <row r="47" spans="1:13">
      <c r="A47" s="2" t="s">
        <v>496</v>
      </c>
      <c r="B47" s="2" t="s">
        <v>497</v>
      </c>
      <c r="C47" s="2" t="s">
        <v>66</v>
      </c>
      <c r="D47" s="2" t="s">
        <v>318</v>
      </c>
      <c r="E47" s="2" t="s">
        <v>299</v>
      </c>
      <c r="F47" s="2" t="s">
        <v>87</v>
      </c>
      <c r="G47" s="11">
        <v>45491</v>
      </c>
      <c r="H47" s="2">
        <v>0</v>
      </c>
      <c r="I47" s="2">
        <v>1842.65</v>
      </c>
      <c r="J47" s="2" t="str" cm="1">
        <f t="array" ref="J47">_xlfn.IFS(I47="","review",H47&lt;=0,"review",H47&gt;=100,"review",TRUE,"Ok")</f>
        <v>review</v>
      </c>
      <c r="K47" s="2">
        <v>0.34</v>
      </c>
      <c r="L47" s="2">
        <v>905.2</v>
      </c>
      <c r="M47" s="2" t="s">
        <v>76</v>
      </c>
    </row>
    <row r="48" spans="1:13">
      <c r="A48" s="2" t="s">
        <v>575</v>
      </c>
      <c r="B48" s="2" t="s">
        <v>346</v>
      </c>
      <c r="C48" s="2" t="s">
        <v>120</v>
      </c>
      <c r="D48" s="2" t="s">
        <v>67</v>
      </c>
      <c r="E48" s="2" t="s">
        <v>109</v>
      </c>
      <c r="F48" s="2" t="s">
        <v>69</v>
      </c>
      <c r="G48" s="11">
        <v>45487</v>
      </c>
      <c r="H48" s="2">
        <v>11</v>
      </c>
      <c r="I48" s="2">
        <v>685.26</v>
      </c>
      <c r="J48" s="2" t="str" cm="1">
        <f t="array" ref="J48">_xlfn.IFS(I48="","review",H48&lt;=0,"review",H48&gt;=100,"review",TRUE,"Ok")</f>
        <v>Ok</v>
      </c>
      <c r="K48" s="2">
        <v>0.09</v>
      </c>
      <c r="L48" s="2">
        <v>311.58999999999997</v>
      </c>
      <c r="M48" s="2" t="s">
        <v>76</v>
      </c>
    </row>
    <row r="49" spans="1:13">
      <c r="A49" s="2" t="s">
        <v>570</v>
      </c>
      <c r="B49" s="2" t="s">
        <v>571</v>
      </c>
      <c r="C49" s="2" t="s">
        <v>59</v>
      </c>
      <c r="D49" s="2" t="s">
        <v>79</v>
      </c>
      <c r="E49" s="2" t="s">
        <v>156</v>
      </c>
      <c r="F49" s="2" t="s">
        <v>123</v>
      </c>
      <c r="G49" s="11">
        <v>45480</v>
      </c>
      <c r="H49" s="2">
        <v>12</v>
      </c>
      <c r="I49" s="2">
        <v>1619.29</v>
      </c>
      <c r="J49" s="2" t="str" cm="1">
        <f t="array" ref="J49">_xlfn.IFS(I49="","review",H49&lt;=0,"review",H49&gt;=100,"review",TRUE,"Ok")</f>
        <v>Ok</v>
      </c>
      <c r="K49" s="2">
        <v>0.09</v>
      </c>
      <c r="L49" s="2">
        <v>992.48</v>
      </c>
      <c r="M49" s="2" t="s">
        <v>63</v>
      </c>
    </row>
    <row r="50" spans="1:13">
      <c r="A50" s="2" t="s">
        <v>1252</v>
      </c>
      <c r="B50" s="2" t="s">
        <v>206</v>
      </c>
      <c r="C50" s="3" t="s">
        <v>120</v>
      </c>
      <c r="D50" s="3" t="s">
        <v>207</v>
      </c>
      <c r="E50" s="3" t="s">
        <v>208</v>
      </c>
      <c r="F50" s="3" t="s">
        <v>198</v>
      </c>
      <c r="G50" s="12">
        <v>45476</v>
      </c>
      <c r="H50" s="3">
        <v>4</v>
      </c>
      <c r="I50" s="3">
        <v>1853.28</v>
      </c>
      <c r="J50" s="2" t="str" cm="1">
        <f t="array" ref="J50">_xlfn.IFS(I50="","review",H50&lt;=0,"review",H50&gt;=100,"review",TRUE,"Ok")</f>
        <v>Ok</v>
      </c>
      <c r="K50" s="3">
        <v>0.12</v>
      </c>
      <c r="L50" s="3">
        <v>1223.3800000000001</v>
      </c>
      <c r="M50" s="3" t="s">
        <v>76</v>
      </c>
    </row>
    <row r="51" spans="1:13">
      <c r="A51" s="2" t="s">
        <v>512</v>
      </c>
      <c r="B51" s="2" t="s">
        <v>508</v>
      </c>
      <c r="C51" s="3" t="s">
        <v>95</v>
      </c>
      <c r="D51" s="3" t="s">
        <v>380</v>
      </c>
      <c r="E51" s="3" t="s">
        <v>229</v>
      </c>
      <c r="F51" s="3" t="s">
        <v>198</v>
      </c>
      <c r="G51" s="12">
        <v>45472</v>
      </c>
      <c r="H51" s="3">
        <v>15</v>
      </c>
      <c r="I51" s="3">
        <v>178.27</v>
      </c>
      <c r="J51" s="2" t="str" cm="1">
        <f t="array" ref="J51">_xlfn.IFS(I51="","review",H51&lt;=0,"review",H51&gt;=100,"review",TRUE,"Ok")</f>
        <v>Ok</v>
      </c>
      <c r="K51" s="3">
        <v>0.26</v>
      </c>
      <c r="L51" s="3">
        <v>102.22</v>
      </c>
      <c r="M51" s="3" t="s">
        <v>81</v>
      </c>
    </row>
    <row r="52" spans="1:13">
      <c r="A52" s="2" t="s">
        <v>316</v>
      </c>
      <c r="B52" s="2" t="s">
        <v>317</v>
      </c>
      <c r="C52" s="3" t="s">
        <v>130</v>
      </c>
      <c r="D52" s="3" t="s">
        <v>318</v>
      </c>
      <c r="E52" s="3" t="s">
        <v>297</v>
      </c>
      <c r="F52" s="3" t="s">
        <v>198</v>
      </c>
      <c r="G52" s="12">
        <v>45470</v>
      </c>
      <c r="H52" s="3">
        <v>0</v>
      </c>
      <c r="I52" s="3">
        <v>4591.1099999999997</v>
      </c>
      <c r="J52" s="2" t="str" cm="1">
        <f t="array" ref="J52">_xlfn.IFS(I52="","review",H52&lt;=0,"review",H52&gt;=100,"review",TRUE,"Ok")</f>
        <v>review</v>
      </c>
      <c r="K52" s="3">
        <v>0.05</v>
      </c>
      <c r="L52" s="3">
        <v>2126.9299999999998</v>
      </c>
      <c r="M52" s="3" t="s">
        <v>81</v>
      </c>
    </row>
    <row r="53" spans="1:13">
      <c r="A53" s="2" t="s">
        <v>511</v>
      </c>
      <c r="B53" s="2" t="s">
        <v>203</v>
      </c>
      <c r="C53" s="2" t="s">
        <v>190</v>
      </c>
      <c r="D53" s="2" t="s">
        <v>350</v>
      </c>
      <c r="E53" s="2" t="s">
        <v>220</v>
      </c>
      <c r="F53" s="2" t="s">
        <v>87</v>
      </c>
      <c r="G53" s="11">
        <v>45470</v>
      </c>
      <c r="H53" s="2">
        <v>16</v>
      </c>
      <c r="I53" s="2">
        <v>4804.57</v>
      </c>
      <c r="J53" s="2" t="str" cm="1">
        <f t="array" ref="J53">_xlfn.IFS(I53="","review",H53&lt;=0,"review",H53&gt;=100,"review",TRUE,"Ok")</f>
        <v>Ok</v>
      </c>
      <c r="K53" s="2">
        <v>0.08</v>
      </c>
      <c r="L53" s="2">
        <v>2929.17</v>
      </c>
      <c r="M53" s="2" t="s">
        <v>76</v>
      </c>
    </row>
    <row r="54" spans="1:13">
      <c r="A54" s="2" t="s">
        <v>593</v>
      </c>
      <c r="B54" s="2" t="s">
        <v>151</v>
      </c>
      <c r="C54" s="2" t="s">
        <v>130</v>
      </c>
      <c r="D54" s="2" t="s">
        <v>116</v>
      </c>
      <c r="E54" s="2" t="s">
        <v>113</v>
      </c>
      <c r="F54" s="2" t="s">
        <v>62</v>
      </c>
      <c r="G54" s="11">
        <v>45470</v>
      </c>
      <c r="H54" s="2">
        <v>3</v>
      </c>
      <c r="I54" s="2">
        <v>4740.04</v>
      </c>
      <c r="J54" s="2" t="str" cm="1">
        <f t="array" ref="J54">_xlfn.IFS(I54="","review",H54&lt;=0,"review",H54&gt;=100,"review",TRUE,"Ok")</f>
        <v>Ok</v>
      </c>
      <c r="K54" s="2">
        <v>0.08</v>
      </c>
      <c r="L54" s="2">
        <v>3257.12</v>
      </c>
      <c r="M54" s="2" t="s">
        <v>98</v>
      </c>
    </row>
    <row r="55" spans="1:13">
      <c r="A55" s="2" t="s">
        <v>376</v>
      </c>
      <c r="B55" s="2" t="s">
        <v>377</v>
      </c>
      <c r="C55" s="2" t="s">
        <v>95</v>
      </c>
      <c r="D55" s="2" t="s">
        <v>171</v>
      </c>
      <c r="E55" s="2" t="s">
        <v>378</v>
      </c>
      <c r="F55" s="2" t="s">
        <v>198</v>
      </c>
      <c r="G55" s="11">
        <v>45466</v>
      </c>
      <c r="H55" s="2">
        <v>4</v>
      </c>
      <c r="I55" s="2">
        <v>1834.99</v>
      </c>
      <c r="J55" s="2" t="str" cm="1">
        <f t="array" ref="J55">_xlfn.IFS(I55="","review",H55&lt;=0,"review",H55&gt;=100,"review",TRUE,"Ok")</f>
        <v>Ok</v>
      </c>
      <c r="K55" s="2">
        <v>0.31</v>
      </c>
      <c r="L55" s="2">
        <v>926.97</v>
      </c>
      <c r="M55" s="2" t="s">
        <v>98</v>
      </c>
    </row>
    <row r="56" spans="1:13">
      <c r="A56" s="2" t="s">
        <v>429</v>
      </c>
      <c r="B56" s="2" t="s">
        <v>266</v>
      </c>
      <c r="C56" s="2" t="s">
        <v>73</v>
      </c>
      <c r="D56" s="2" t="s">
        <v>232</v>
      </c>
      <c r="E56" s="2" t="s">
        <v>398</v>
      </c>
      <c r="F56" s="2" t="s">
        <v>92</v>
      </c>
      <c r="G56" s="11">
        <v>45464</v>
      </c>
      <c r="H56" s="2">
        <v>18</v>
      </c>
      <c r="I56" s="2">
        <v>3965.99</v>
      </c>
      <c r="J56" s="2" t="str" cm="1">
        <f t="array" ref="J56">_xlfn.IFS(I56="","review",H56&lt;=0,"review",H56&gt;=100,"review",TRUE,"Ok")</f>
        <v>Ok</v>
      </c>
      <c r="K56" s="2">
        <v>0.35</v>
      </c>
      <c r="L56" s="2">
        <v>2036.7</v>
      </c>
      <c r="M56" s="2" t="s">
        <v>98</v>
      </c>
    </row>
    <row r="57" spans="1:13">
      <c r="A57" s="2" t="s">
        <v>268</v>
      </c>
      <c r="B57" s="2" t="s">
        <v>151</v>
      </c>
      <c r="C57" s="3" t="s">
        <v>59</v>
      </c>
      <c r="D57" s="3" t="s">
        <v>269</v>
      </c>
      <c r="E57" s="3" t="s">
        <v>257</v>
      </c>
      <c r="F57" s="3" t="s">
        <v>69</v>
      </c>
      <c r="G57" s="12">
        <v>45463</v>
      </c>
      <c r="H57" s="3">
        <v>8</v>
      </c>
      <c r="I57" s="3">
        <v>2428.92</v>
      </c>
      <c r="J57" s="2" t="str" cm="1">
        <f t="array" ref="J57">_xlfn.IFS(I57="","review",H57&lt;=0,"review",H57&gt;=100,"review",TRUE,"Ok")</f>
        <v>Ok</v>
      </c>
      <c r="K57" s="3">
        <v>0.03</v>
      </c>
      <c r="L57" s="3">
        <v>1379.43</v>
      </c>
      <c r="M57" s="3" t="s">
        <v>98</v>
      </c>
    </row>
    <row r="58" spans="1:13">
      <c r="A58" s="2" t="s">
        <v>311</v>
      </c>
      <c r="B58" s="2" t="s">
        <v>312</v>
      </c>
      <c r="C58" s="2" t="s">
        <v>95</v>
      </c>
      <c r="D58" s="2" t="s">
        <v>101</v>
      </c>
      <c r="E58" s="2" t="s">
        <v>220</v>
      </c>
      <c r="F58" s="2" t="s">
        <v>87</v>
      </c>
      <c r="G58" s="11">
        <v>45450</v>
      </c>
      <c r="H58" s="2">
        <v>5</v>
      </c>
      <c r="I58" s="2">
        <v>1709.69</v>
      </c>
      <c r="J58" s="2" t="str" cm="1">
        <f t="array" ref="J58">_xlfn.IFS(I58="","review",H58&lt;=0,"review",H58&gt;=100,"review",TRUE,"Ok")</f>
        <v>Ok</v>
      </c>
      <c r="K58" s="2">
        <v>0.28999999999999998</v>
      </c>
      <c r="L58" s="2">
        <v>1114.05</v>
      </c>
      <c r="M58" s="2" t="s">
        <v>63</v>
      </c>
    </row>
    <row r="59" spans="1:13">
      <c r="A59" s="2" t="s">
        <v>337</v>
      </c>
      <c r="B59" s="2" t="s">
        <v>338</v>
      </c>
      <c r="C59" s="3" t="s">
        <v>59</v>
      </c>
      <c r="D59" s="3" t="s">
        <v>108</v>
      </c>
      <c r="E59" s="3" t="s">
        <v>61</v>
      </c>
      <c r="F59" s="3" t="s">
        <v>62</v>
      </c>
      <c r="G59" s="12">
        <v>45444</v>
      </c>
      <c r="H59" s="3">
        <v>6</v>
      </c>
      <c r="I59" s="3">
        <v>4704.12</v>
      </c>
      <c r="J59" s="2" t="str" cm="1">
        <f t="array" ref="J59">_xlfn.IFS(I59="","review",H59&lt;=0,"review",H59&gt;=100,"review",TRUE,"Ok")</f>
        <v>Ok</v>
      </c>
      <c r="K59" s="3">
        <v>0.01</v>
      </c>
      <c r="L59" s="3">
        <v>2931.81</v>
      </c>
      <c r="M59" s="3" t="s">
        <v>98</v>
      </c>
    </row>
    <row r="60" spans="1:13">
      <c r="A60" s="2" t="s">
        <v>588</v>
      </c>
      <c r="B60" s="2" t="s">
        <v>589</v>
      </c>
      <c r="C60" s="3" t="s">
        <v>190</v>
      </c>
      <c r="D60" s="3" t="s">
        <v>269</v>
      </c>
      <c r="E60" s="3" t="s">
        <v>180</v>
      </c>
      <c r="F60" s="3" t="s">
        <v>123</v>
      </c>
      <c r="G60" s="12">
        <v>45435</v>
      </c>
      <c r="H60" s="3">
        <v>20</v>
      </c>
      <c r="I60" s="3">
        <v>851.74</v>
      </c>
      <c r="J60" s="2" t="str" cm="1">
        <f t="array" ref="J60">_xlfn.IFS(I60="","review",H60&lt;=0,"review",H60&gt;=100,"review",TRUE,"Ok")</f>
        <v>Ok</v>
      </c>
      <c r="K60" s="3">
        <v>0.22</v>
      </c>
      <c r="L60" s="3">
        <v>521.41</v>
      </c>
      <c r="M60" s="3" t="s">
        <v>98</v>
      </c>
    </row>
    <row r="61" spans="1:13">
      <c r="A61" s="2" t="s">
        <v>382</v>
      </c>
      <c r="B61" s="2" t="s">
        <v>158</v>
      </c>
      <c r="C61" s="3" t="s">
        <v>66</v>
      </c>
      <c r="D61" s="3" t="s">
        <v>344</v>
      </c>
      <c r="E61" s="3" t="s">
        <v>194</v>
      </c>
      <c r="F61" s="3" t="s">
        <v>383</v>
      </c>
      <c r="G61" s="12">
        <v>45430</v>
      </c>
      <c r="H61" s="3">
        <v>4</v>
      </c>
      <c r="I61" s="3">
        <v>3942.74</v>
      </c>
      <c r="J61" s="2" t="str" cm="1">
        <f t="array" ref="J61">_xlfn.IFS(I61="","review",H61&lt;=0,"review",H61&gt;=100,"review",TRUE,"Ok")</f>
        <v>Ok</v>
      </c>
      <c r="K61" s="3">
        <v>0.21</v>
      </c>
      <c r="L61" s="3">
        <v>2040.78</v>
      </c>
      <c r="M61" s="3" t="s">
        <v>81</v>
      </c>
    </row>
    <row r="62" spans="1:13">
      <c r="A62" s="2" t="s">
        <v>563</v>
      </c>
      <c r="B62" s="2" t="s">
        <v>361</v>
      </c>
      <c r="C62" s="3" t="s">
        <v>120</v>
      </c>
      <c r="D62" s="3" t="s">
        <v>318</v>
      </c>
      <c r="E62" s="3" t="s">
        <v>97</v>
      </c>
      <c r="F62" s="3" t="s">
        <v>92</v>
      </c>
      <c r="G62" s="12">
        <v>45424</v>
      </c>
      <c r="H62" s="3">
        <v>17</v>
      </c>
      <c r="I62" s="3">
        <v>2419.39</v>
      </c>
      <c r="J62" s="2" t="str" cm="1">
        <f t="array" ref="J62">_xlfn.IFS(I62="","review",H62&lt;=0,"review",H62&gt;=100,"review",TRUE,"Ok")</f>
        <v>Ok</v>
      </c>
      <c r="K62" s="3">
        <v>0.17</v>
      </c>
      <c r="L62" s="3">
        <v>1500.11</v>
      </c>
      <c r="M62" s="3" t="s">
        <v>63</v>
      </c>
    </row>
    <row r="63" spans="1:13">
      <c r="A63" s="2" t="s">
        <v>499</v>
      </c>
      <c r="B63" s="2" t="s">
        <v>272</v>
      </c>
      <c r="C63" s="2" t="s">
        <v>66</v>
      </c>
      <c r="D63" s="2" t="s">
        <v>79</v>
      </c>
      <c r="E63" s="2" t="s">
        <v>356</v>
      </c>
      <c r="F63" s="2" t="s">
        <v>92</v>
      </c>
      <c r="G63" s="11">
        <v>45420</v>
      </c>
      <c r="H63" s="2">
        <v>19</v>
      </c>
      <c r="I63" s="2">
        <v>210.31</v>
      </c>
      <c r="J63" s="2" t="str" cm="1">
        <f t="array" ref="J63">_xlfn.IFS(I63="","review",H63&lt;=0,"review",H63&gt;=100,"review",TRUE,"Ok")</f>
        <v>Ok</v>
      </c>
      <c r="K63" s="2">
        <v>0.23</v>
      </c>
      <c r="L63" s="2">
        <v>98.93</v>
      </c>
      <c r="M63" s="2" t="s">
        <v>70</v>
      </c>
    </row>
    <row r="64" spans="1:13">
      <c r="A64" s="2" t="s">
        <v>143</v>
      </c>
      <c r="B64" s="2" t="s">
        <v>144</v>
      </c>
      <c r="C64" s="2" t="s">
        <v>84</v>
      </c>
      <c r="D64" s="2" t="s">
        <v>145</v>
      </c>
      <c r="E64" s="2" t="s">
        <v>146</v>
      </c>
      <c r="F64" s="2" t="s">
        <v>69</v>
      </c>
      <c r="G64" s="11">
        <v>45412</v>
      </c>
      <c r="H64" s="2">
        <v>-1</v>
      </c>
      <c r="I64" s="2">
        <v>3842.47</v>
      </c>
      <c r="J64" s="2" t="str" cm="1">
        <f t="array" ref="J64">_xlfn.IFS(I64="","review",H64&lt;=0,"review",H64&gt;=100,"review",TRUE,"Ok")</f>
        <v>review</v>
      </c>
      <c r="K64" s="2">
        <v>7.0000000000000007E-2</v>
      </c>
      <c r="L64" s="2">
        <v>1918.78</v>
      </c>
      <c r="M64" s="2" t="s">
        <v>81</v>
      </c>
    </row>
    <row r="65" spans="1:13">
      <c r="A65" s="2" t="s">
        <v>437</v>
      </c>
      <c r="B65" s="2" t="s">
        <v>308</v>
      </c>
      <c r="C65" s="3" t="s">
        <v>130</v>
      </c>
      <c r="D65" s="3" t="s">
        <v>207</v>
      </c>
      <c r="E65" s="3" t="s">
        <v>142</v>
      </c>
      <c r="F65" s="3" t="s">
        <v>403</v>
      </c>
      <c r="G65" s="12">
        <v>45412</v>
      </c>
      <c r="H65" s="3">
        <v>15</v>
      </c>
      <c r="I65" s="3">
        <v>231.27</v>
      </c>
      <c r="J65" s="2" t="str" cm="1">
        <f t="array" ref="J65">_xlfn.IFS(I65="","review",H65&lt;=0,"review",H65&gt;=100,"review",TRUE,"Ok")</f>
        <v>Ok</v>
      </c>
      <c r="K65" s="3">
        <v>0.24</v>
      </c>
      <c r="L65" s="3">
        <v>152.9</v>
      </c>
      <c r="M65" s="3" t="s">
        <v>70</v>
      </c>
    </row>
    <row r="66" spans="1:13">
      <c r="A66" s="2" t="s">
        <v>181</v>
      </c>
      <c r="B66" s="2" t="s">
        <v>58</v>
      </c>
      <c r="C66" s="2" t="s">
        <v>59</v>
      </c>
      <c r="D66" s="2" t="s">
        <v>121</v>
      </c>
      <c r="E66" s="2" t="s">
        <v>182</v>
      </c>
      <c r="F66" s="2" t="s">
        <v>135</v>
      </c>
      <c r="G66" s="11">
        <v>45411</v>
      </c>
      <c r="H66" s="2">
        <v>9</v>
      </c>
      <c r="I66" s="2">
        <v>3109.26</v>
      </c>
      <c r="J66" s="2" t="str" cm="1">
        <f t="array" ref="J66">_xlfn.IFS(I66="","review",H66&lt;=0,"review",H66&gt;=100,"review",TRUE,"Ok")</f>
        <v>Ok</v>
      </c>
      <c r="K66" s="2">
        <v>0.24</v>
      </c>
      <c r="L66" s="2">
        <v>1920.4</v>
      </c>
      <c r="M66" s="2" t="s">
        <v>98</v>
      </c>
    </row>
    <row r="67" spans="1:13">
      <c r="A67" s="2" t="s">
        <v>501</v>
      </c>
      <c r="B67" s="2" t="s">
        <v>200</v>
      </c>
      <c r="C67" s="2" t="s">
        <v>107</v>
      </c>
      <c r="D67" s="2" t="s">
        <v>341</v>
      </c>
      <c r="E67" s="2" t="s">
        <v>197</v>
      </c>
      <c r="F67" s="2" t="s">
        <v>198</v>
      </c>
      <c r="G67" s="11">
        <v>45411</v>
      </c>
      <c r="H67" s="2">
        <v>15</v>
      </c>
      <c r="I67" s="2">
        <v>2277.12</v>
      </c>
      <c r="J67" s="2" t="str" cm="1">
        <f t="array" ref="J67">_xlfn.IFS(I67="","review",H67&lt;=0,"review",H67&gt;=100,"review",TRUE,"Ok")</f>
        <v>Ok</v>
      </c>
      <c r="K67" s="2">
        <v>0.17</v>
      </c>
      <c r="L67" s="2">
        <v>1174.1199999999999</v>
      </c>
      <c r="M67" s="2" t="s">
        <v>76</v>
      </c>
    </row>
    <row r="68" spans="1:13">
      <c r="A68" s="2" t="s">
        <v>345</v>
      </c>
      <c r="B68" s="2" t="s">
        <v>346</v>
      </c>
      <c r="C68" s="3" t="s">
        <v>95</v>
      </c>
      <c r="D68" s="3" t="s">
        <v>101</v>
      </c>
      <c r="E68" s="3" t="s">
        <v>149</v>
      </c>
      <c r="F68" s="3" t="s">
        <v>92</v>
      </c>
      <c r="G68" s="12">
        <v>45405</v>
      </c>
      <c r="H68" s="3">
        <v>19</v>
      </c>
      <c r="I68" s="3">
        <v>1226.32</v>
      </c>
      <c r="J68" s="2" t="str" cm="1">
        <f t="array" ref="J68">_xlfn.IFS(I68="","review",H68&lt;=0,"review",H68&gt;=100,"review",TRUE,"Ok")</f>
        <v>Ok</v>
      </c>
      <c r="K68" s="3">
        <v>0.05</v>
      </c>
      <c r="L68" s="3">
        <v>874.22</v>
      </c>
      <c r="M68" s="3" t="s">
        <v>98</v>
      </c>
    </row>
    <row r="69" spans="1:13">
      <c r="A69" s="2" t="s">
        <v>235</v>
      </c>
      <c r="B69" s="2" t="s">
        <v>236</v>
      </c>
      <c r="C69" s="2" t="s">
        <v>59</v>
      </c>
      <c r="D69" s="2" t="s">
        <v>213</v>
      </c>
      <c r="E69" s="2" t="s">
        <v>109</v>
      </c>
      <c r="F69" s="2" t="s">
        <v>69</v>
      </c>
      <c r="G69" s="11">
        <v>45403</v>
      </c>
      <c r="H69" s="2">
        <v>12</v>
      </c>
      <c r="I69" s="2">
        <v>1010.38</v>
      </c>
      <c r="J69" s="2" t="str" cm="1">
        <f t="array" ref="J69">_xlfn.IFS(I69="","review",H69&lt;=0,"review",H69&gt;=100,"review",TRUE,"Ok")</f>
        <v>Ok</v>
      </c>
      <c r="K69" s="2">
        <v>0.3</v>
      </c>
      <c r="L69" s="2">
        <v>746.81</v>
      </c>
      <c r="M69" s="2" t="s">
        <v>70</v>
      </c>
    </row>
    <row r="70" spans="1:13">
      <c r="A70" s="2" t="s">
        <v>279</v>
      </c>
      <c r="B70" s="2" t="s">
        <v>248</v>
      </c>
      <c r="C70" s="3" t="s">
        <v>59</v>
      </c>
      <c r="D70" s="3" t="s">
        <v>207</v>
      </c>
      <c r="E70" s="3" t="s">
        <v>113</v>
      </c>
      <c r="F70" s="3" t="s">
        <v>62</v>
      </c>
      <c r="G70" s="12">
        <v>45401</v>
      </c>
      <c r="H70" s="3">
        <v>9</v>
      </c>
      <c r="I70" s="3">
        <v>465.18</v>
      </c>
      <c r="J70" s="2" t="str" cm="1">
        <f t="array" ref="J70">_xlfn.IFS(I70="","review",H70&lt;=0,"review",H70&gt;=100,"review",TRUE,"Ok")</f>
        <v>Ok</v>
      </c>
      <c r="K70" s="3">
        <v>0.1</v>
      </c>
      <c r="L70" s="3">
        <v>273.95</v>
      </c>
      <c r="M70" s="3" t="s">
        <v>63</v>
      </c>
    </row>
    <row r="71" spans="1:13">
      <c r="A71" s="2" t="s">
        <v>483</v>
      </c>
      <c r="B71" s="2" t="s">
        <v>397</v>
      </c>
      <c r="C71" s="2" t="s">
        <v>95</v>
      </c>
      <c r="D71" s="2" t="s">
        <v>252</v>
      </c>
      <c r="E71" s="2" t="s">
        <v>152</v>
      </c>
      <c r="F71" s="2" t="s">
        <v>92</v>
      </c>
      <c r="G71" s="11">
        <v>45398</v>
      </c>
      <c r="H71" s="2">
        <v>12</v>
      </c>
      <c r="I71" s="2">
        <v>3372.36</v>
      </c>
      <c r="J71" s="2" t="str" cm="1">
        <f t="array" ref="J71">_xlfn.IFS(I71="","review",H71&lt;=0,"review",H71&gt;=100,"review",TRUE,"Ok")</f>
        <v>Ok</v>
      </c>
      <c r="K71" s="2">
        <v>0.26</v>
      </c>
      <c r="L71" s="2">
        <v>1659.16</v>
      </c>
      <c r="M71" s="2" t="s">
        <v>76</v>
      </c>
    </row>
    <row r="72" spans="1:13">
      <c r="A72" s="2" t="s">
        <v>99</v>
      </c>
      <c r="B72" s="2" t="s">
        <v>100</v>
      </c>
      <c r="C72" s="3" t="s">
        <v>84</v>
      </c>
      <c r="D72" s="3" t="s">
        <v>101</v>
      </c>
      <c r="E72" s="3" t="s">
        <v>91</v>
      </c>
      <c r="F72" s="3" t="s">
        <v>92</v>
      </c>
      <c r="G72" s="12">
        <v>45397</v>
      </c>
      <c r="H72" s="3">
        <v>20</v>
      </c>
      <c r="I72" s="3">
        <v>3529.01</v>
      </c>
      <c r="J72" s="2" t="str" cm="1">
        <f t="array" ref="J72">_xlfn.IFS(I72="","review",H72&lt;=0,"review",H72&gt;=100,"review",TRUE,"Ok")</f>
        <v>Ok</v>
      </c>
      <c r="K72" s="3">
        <v>0.06</v>
      </c>
      <c r="L72" s="3">
        <v>2218.85</v>
      </c>
      <c r="M72" s="3" t="s">
        <v>76</v>
      </c>
    </row>
    <row r="73" spans="1:13">
      <c r="A73" s="2" t="s">
        <v>504</v>
      </c>
      <c r="B73" s="2" t="s">
        <v>505</v>
      </c>
      <c r="C73" s="3" t="s">
        <v>73</v>
      </c>
      <c r="D73" s="3" t="s">
        <v>104</v>
      </c>
      <c r="E73" s="3" t="s">
        <v>164</v>
      </c>
      <c r="F73" s="3" t="s">
        <v>123</v>
      </c>
      <c r="G73" s="12">
        <v>45397</v>
      </c>
      <c r="H73" s="3">
        <v>11</v>
      </c>
      <c r="I73" s="3">
        <v>430.58</v>
      </c>
      <c r="J73" s="2" t="str" cm="1">
        <f t="array" ref="J73">_xlfn.IFS(I73="","review",H73&lt;=0,"review",H73&gt;=100,"review",TRUE,"Ok")</f>
        <v>Ok</v>
      </c>
      <c r="K73" s="3">
        <v>0.1</v>
      </c>
      <c r="L73" s="3">
        <v>276.14</v>
      </c>
      <c r="M73" s="3" t="s">
        <v>63</v>
      </c>
    </row>
    <row r="74" spans="1:13">
      <c r="A74" s="2" t="s">
        <v>521</v>
      </c>
      <c r="B74" s="2" t="s">
        <v>308</v>
      </c>
      <c r="C74" s="2" t="s">
        <v>84</v>
      </c>
      <c r="D74" s="2" t="s">
        <v>108</v>
      </c>
      <c r="E74" s="2" t="s">
        <v>109</v>
      </c>
      <c r="F74" s="2" t="s">
        <v>69</v>
      </c>
      <c r="G74" s="11">
        <v>45377</v>
      </c>
      <c r="H74" s="2">
        <v>3</v>
      </c>
      <c r="I74" s="2">
        <v>1112.1199999999999</v>
      </c>
      <c r="J74" s="2" t="str" cm="1">
        <f t="array" ref="J74">_xlfn.IFS(I74="","review",H74&lt;=0,"review",H74&gt;=100,"review",TRUE,"Ok")</f>
        <v>Ok</v>
      </c>
      <c r="K74" s="2">
        <v>0.01</v>
      </c>
      <c r="L74" s="2">
        <v>644.11</v>
      </c>
      <c r="M74" s="2" t="s">
        <v>98</v>
      </c>
    </row>
    <row r="75" spans="1:13">
      <c r="A75" s="2" t="s">
        <v>288</v>
      </c>
      <c r="B75" s="2" t="s">
        <v>166</v>
      </c>
      <c r="C75" s="3" t="s">
        <v>167</v>
      </c>
      <c r="D75" s="3" t="s">
        <v>267</v>
      </c>
      <c r="E75" s="3" t="s">
        <v>172</v>
      </c>
      <c r="F75" s="3" t="s">
        <v>62</v>
      </c>
      <c r="G75" s="12">
        <v>45376</v>
      </c>
      <c r="H75" s="3">
        <v>20</v>
      </c>
      <c r="I75" s="3">
        <v>4557</v>
      </c>
      <c r="J75" s="2" t="str" cm="1">
        <f t="array" ref="J75">_xlfn.IFS(I75="","review",H75&lt;=0,"review",H75&gt;=100,"review",TRUE,"Ok")</f>
        <v>Ok</v>
      </c>
      <c r="K75" s="3">
        <v>0.04</v>
      </c>
      <c r="L75" s="3">
        <v>2262.7199999999998</v>
      </c>
      <c r="M75" s="3" t="s">
        <v>76</v>
      </c>
    </row>
    <row r="76" spans="1:13">
      <c r="A76" s="2" t="s">
        <v>457</v>
      </c>
      <c r="B76" s="2" t="s">
        <v>343</v>
      </c>
      <c r="C76" s="3" t="s">
        <v>107</v>
      </c>
      <c r="D76" s="3" t="s">
        <v>263</v>
      </c>
      <c r="E76" s="3" t="s">
        <v>113</v>
      </c>
      <c r="F76" s="3" t="s">
        <v>62</v>
      </c>
      <c r="G76" s="12">
        <v>45375</v>
      </c>
      <c r="H76" s="3">
        <v>14</v>
      </c>
      <c r="I76" s="3">
        <v>458.93</v>
      </c>
      <c r="J76" s="2" t="str" cm="1">
        <f t="array" ref="J76">_xlfn.IFS(I76="","review",H76&lt;=0,"review",H76&gt;=100,"review",TRUE,"Ok")</f>
        <v>Ok</v>
      </c>
      <c r="K76" s="3">
        <v>0.25</v>
      </c>
      <c r="L76" s="3">
        <v>325.48</v>
      </c>
      <c r="M76" s="3" t="s">
        <v>81</v>
      </c>
    </row>
    <row r="77" spans="1:13">
      <c r="A77" s="2" t="s">
        <v>405</v>
      </c>
      <c r="B77" s="2" t="s">
        <v>406</v>
      </c>
      <c r="C77" s="3" t="s">
        <v>73</v>
      </c>
      <c r="D77" s="3" t="s">
        <v>306</v>
      </c>
      <c r="E77" s="3" t="s">
        <v>91</v>
      </c>
      <c r="F77" s="3" t="s">
        <v>92</v>
      </c>
      <c r="G77" s="12">
        <v>45372</v>
      </c>
      <c r="H77" s="3">
        <v>7</v>
      </c>
      <c r="I77" s="3">
        <v>3795.56</v>
      </c>
      <c r="J77" s="2" t="str" cm="1">
        <f t="array" ref="J77">_xlfn.IFS(I77="","review",H77&lt;=0,"review",H77&gt;=100,"review",TRUE,"Ok")</f>
        <v>Ok</v>
      </c>
      <c r="K77" s="3">
        <v>0.2</v>
      </c>
      <c r="L77" s="3">
        <v>2317.91</v>
      </c>
      <c r="M77" s="3" t="s">
        <v>63</v>
      </c>
    </row>
    <row r="78" spans="1:13">
      <c r="A78" s="2" t="s">
        <v>1253</v>
      </c>
      <c r="B78" s="2" t="s">
        <v>460</v>
      </c>
      <c r="C78" s="2" t="s">
        <v>130</v>
      </c>
      <c r="D78" s="2" t="s">
        <v>108</v>
      </c>
      <c r="E78" s="2" t="s">
        <v>80</v>
      </c>
      <c r="F78" s="2" t="s">
        <v>62</v>
      </c>
      <c r="G78" s="11">
        <v>45370</v>
      </c>
      <c r="H78" s="2">
        <v>14</v>
      </c>
      <c r="I78" s="2">
        <v>4975.74</v>
      </c>
      <c r="J78" s="2" t="str" cm="1">
        <f t="array" ref="J78">_xlfn.IFS(I78="","review",H78&lt;=0,"review",H78&gt;=100,"review",TRUE,"Ok")</f>
        <v>Ok</v>
      </c>
      <c r="K78" s="2">
        <v>0.19</v>
      </c>
      <c r="L78" s="2">
        <v>3065.02</v>
      </c>
      <c r="M78" s="2" t="s">
        <v>98</v>
      </c>
    </row>
    <row r="79" spans="1:13">
      <c r="A79" s="2" t="s">
        <v>495</v>
      </c>
      <c r="B79" s="2" t="s">
        <v>373</v>
      </c>
      <c r="C79" s="3" t="s">
        <v>130</v>
      </c>
      <c r="D79" s="3" t="s">
        <v>171</v>
      </c>
      <c r="E79" s="3" t="s">
        <v>185</v>
      </c>
      <c r="F79" s="3" t="s">
        <v>264</v>
      </c>
      <c r="G79" s="12">
        <v>45357</v>
      </c>
      <c r="H79" s="3">
        <v>6</v>
      </c>
      <c r="I79" s="3">
        <v>3243.56</v>
      </c>
      <c r="J79" s="2" t="str" cm="1">
        <f t="array" ref="J79">_xlfn.IFS(I79="","review",H79&lt;=0,"review",H79&gt;=100,"review",TRUE,"Ok")</f>
        <v>Ok</v>
      </c>
      <c r="K79" s="3">
        <v>0.34</v>
      </c>
      <c r="L79" s="3">
        <v>1465.81</v>
      </c>
      <c r="M79" s="3" t="s">
        <v>70</v>
      </c>
    </row>
    <row r="80" spans="1:13">
      <c r="A80" s="2" t="s">
        <v>247</v>
      </c>
      <c r="B80" s="2" t="s">
        <v>248</v>
      </c>
      <c r="C80" s="3" t="s">
        <v>130</v>
      </c>
      <c r="D80" s="3" t="s">
        <v>243</v>
      </c>
      <c r="E80" s="3" t="s">
        <v>220</v>
      </c>
      <c r="F80" s="3" t="s">
        <v>87</v>
      </c>
      <c r="G80" s="12">
        <v>45352</v>
      </c>
      <c r="H80" s="3">
        <v>10</v>
      </c>
      <c r="I80" s="3">
        <v>3901.71</v>
      </c>
      <c r="J80" s="2" t="str" cm="1">
        <f t="array" ref="J80">_xlfn.IFS(I80="","review",H80&lt;=0,"review",H80&gt;=100,"review",TRUE,"Ok")</f>
        <v>Ok</v>
      </c>
      <c r="K80" s="3">
        <v>0.33</v>
      </c>
      <c r="L80" s="3">
        <v>2197.63</v>
      </c>
      <c r="M80" s="3" t="s">
        <v>70</v>
      </c>
    </row>
    <row r="81" spans="1:13">
      <c r="A81" s="2" t="s">
        <v>392</v>
      </c>
      <c r="B81" s="2" t="s">
        <v>393</v>
      </c>
      <c r="C81" s="2" t="s">
        <v>95</v>
      </c>
      <c r="D81" s="2" t="s">
        <v>341</v>
      </c>
      <c r="E81" s="2" t="s">
        <v>156</v>
      </c>
      <c r="F81" s="2" t="s">
        <v>123</v>
      </c>
      <c r="G81" s="11">
        <v>45349</v>
      </c>
      <c r="H81" s="2">
        <v>10</v>
      </c>
      <c r="I81" s="2">
        <v>1965.06</v>
      </c>
      <c r="J81" s="2" t="str" cm="1">
        <f t="array" ref="J81">_xlfn.IFS(I81="","review",H81&lt;=0,"review",H81&gt;=100,"review",TRUE,"Ok")</f>
        <v>Ok</v>
      </c>
      <c r="K81" s="2">
        <v>0.08</v>
      </c>
      <c r="L81" s="2">
        <v>1127.56</v>
      </c>
      <c r="M81" s="2" t="s">
        <v>81</v>
      </c>
    </row>
    <row r="82" spans="1:13">
      <c r="A82" s="2" t="s">
        <v>162</v>
      </c>
      <c r="B82" s="2" t="s">
        <v>163</v>
      </c>
      <c r="C82" s="2" t="s">
        <v>59</v>
      </c>
      <c r="D82" s="2" t="s">
        <v>145</v>
      </c>
      <c r="E82" s="2" t="s">
        <v>164</v>
      </c>
      <c r="F82" s="2" t="s">
        <v>123</v>
      </c>
      <c r="G82" s="11">
        <v>45347</v>
      </c>
      <c r="H82" s="2">
        <v>13</v>
      </c>
      <c r="I82" s="2">
        <v>2563.06</v>
      </c>
      <c r="J82" s="2" t="str" cm="1">
        <f t="array" ref="J82">_xlfn.IFS(I82="","review",H82&lt;=0,"review",H82&gt;=100,"review",TRUE,"Ok")</f>
        <v>Ok</v>
      </c>
      <c r="K82" s="2">
        <v>0.22</v>
      </c>
      <c r="L82" s="2">
        <v>1844.55</v>
      </c>
      <c r="M82" s="2" t="s">
        <v>70</v>
      </c>
    </row>
    <row r="83" spans="1:13">
      <c r="A83" s="2" t="s">
        <v>230</v>
      </c>
      <c r="B83" s="2" t="s">
        <v>231</v>
      </c>
      <c r="C83" s="2" t="s">
        <v>73</v>
      </c>
      <c r="D83" s="2" t="s">
        <v>232</v>
      </c>
      <c r="E83" s="2" t="s">
        <v>194</v>
      </c>
      <c r="F83" s="2" t="s">
        <v>87</v>
      </c>
      <c r="G83" s="11">
        <v>45346</v>
      </c>
      <c r="H83" s="2">
        <v>4</v>
      </c>
      <c r="I83" s="2">
        <v>3932.63</v>
      </c>
      <c r="J83" s="2" t="str" cm="1">
        <f t="array" ref="J83">_xlfn.IFS(I83="","review",H83&lt;=0,"review",H83&gt;=100,"review",TRUE,"Ok")</f>
        <v>Ok</v>
      </c>
      <c r="K83" s="2">
        <v>0.02</v>
      </c>
      <c r="L83" s="2">
        <v>2526.5500000000002</v>
      </c>
      <c r="M83" s="2" t="s">
        <v>81</v>
      </c>
    </row>
    <row r="84" spans="1:13">
      <c r="A84" s="2" t="s">
        <v>357</v>
      </c>
      <c r="B84" s="2" t="s">
        <v>336</v>
      </c>
      <c r="C84" s="2" t="s">
        <v>59</v>
      </c>
      <c r="D84" s="2" t="s">
        <v>112</v>
      </c>
      <c r="E84" s="2" t="s">
        <v>182</v>
      </c>
      <c r="F84" s="2" t="s">
        <v>135</v>
      </c>
      <c r="G84" s="11">
        <v>45345</v>
      </c>
      <c r="H84" s="2">
        <v>6</v>
      </c>
      <c r="I84" s="2">
        <v>360.9</v>
      </c>
      <c r="J84" s="2" t="str" cm="1">
        <f t="array" ref="J84">_xlfn.IFS(I84="","review",H84&lt;=0,"review",H84&gt;=100,"review",TRUE,"Ok")</f>
        <v>Ok</v>
      </c>
      <c r="K84" s="2">
        <v>0.14000000000000001</v>
      </c>
      <c r="L84" s="2">
        <v>222.68</v>
      </c>
      <c r="M84" s="2" t="s">
        <v>81</v>
      </c>
    </row>
    <row r="85" spans="1:13">
      <c r="A85" s="2" t="s">
        <v>399</v>
      </c>
      <c r="B85" s="2" t="s">
        <v>400</v>
      </c>
      <c r="C85" s="2" t="s">
        <v>95</v>
      </c>
      <c r="D85" s="2" t="s">
        <v>148</v>
      </c>
      <c r="E85" s="2" t="s">
        <v>261</v>
      </c>
      <c r="F85" s="2" t="s">
        <v>62</v>
      </c>
      <c r="G85" s="11">
        <v>45343</v>
      </c>
      <c r="H85" s="2">
        <v>20</v>
      </c>
      <c r="I85" s="2">
        <v>384.42</v>
      </c>
      <c r="J85" s="2" t="str" cm="1">
        <f t="array" ref="J85">_xlfn.IFS(I85="","review",H85&lt;=0,"review",H85&gt;=100,"review",TRUE,"Ok")</f>
        <v>Ok</v>
      </c>
      <c r="K85" s="2">
        <v>0.25</v>
      </c>
      <c r="L85" s="2">
        <v>202.4</v>
      </c>
      <c r="M85" s="2" t="s">
        <v>98</v>
      </c>
    </row>
    <row r="86" spans="1:13">
      <c r="A86" s="2" t="s">
        <v>244</v>
      </c>
      <c r="B86" s="2" t="s">
        <v>245</v>
      </c>
      <c r="C86" s="2" t="s">
        <v>190</v>
      </c>
      <c r="D86" s="2" t="s">
        <v>90</v>
      </c>
      <c r="E86" s="2" t="s">
        <v>246</v>
      </c>
      <c r="F86" s="2" t="s">
        <v>198</v>
      </c>
      <c r="G86" s="11">
        <v>45342</v>
      </c>
      <c r="H86" s="2">
        <v>20</v>
      </c>
      <c r="I86" s="2">
        <v>3858.72</v>
      </c>
      <c r="J86" s="2" t="str" cm="1">
        <f t="array" ref="J86">_xlfn.IFS(I86="","review",H86&lt;=0,"review",H86&gt;=100,"review",TRUE,"Ok")</f>
        <v>Ok</v>
      </c>
      <c r="K86" s="2">
        <v>0.28000000000000003</v>
      </c>
      <c r="L86" s="2">
        <v>2798.09</v>
      </c>
      <c r="M86" s="2" t="s">
        <v>81</v>
      </c>
    </row>
    <row r="87" spans="1:13">
      <c r="A87" s="2" t="s">
        <v>471</v>
      </c>
      <c r="B87" s="2" t="s">
        <v>151</v>
      </c>
      <c r="C87" s="3" t="s">
        <v>167</v>
      </c>
      <c r="D87" s="3" t="s">
        <v>171</v>
      </c>
      <c r="E87" s="3" t="s">
        <v>257</v>
      </c>
      <c r="F87" s="3" t="s">
        <v>69</v>
      </c>
      <c r="G87" s="12">
        <v>45342</v>
      </c>
      <c r="H87" s="3">
        <v>11</v>
      </c>
      <c r="I87" s="3">
        <v>3602.43</v>
      </c>
      <c r="J87" s="2" t="str" cm="1">
        <f t="array" ref="J87">_xlfn.IFS(I87="","review",H87&lt;=0,"review",H87&gt;=100,"review",TRUE,"Ok")</f>
        <v>Ok</v>
      </c>
      <c r="K87" s="3">
        <v>0.33</v>
      </c>
      <c r="L87" s="3">
        <v>1886.66</v>
      </c>
      <c r="M87" s="3" t="s">
        <v>76</v>
      </c>
    </row>
    <row r="88" spans="1:13">
      <c r="A88" s="2" t="s">
        <v>292</v>
      </c>
      <c r="B88" s="2" t="s">
        <v>293</v>
      </c>
      <c r="C88" s="3" t="s">
        <v>120</v>
      </c>
      <c r="D88" s="3" t="s">
        <v>294</v>
      </c>
      <c r="E88" s="3" t="s">
        <v>97</v>
      </c>
      <c r="F88" s="3" t="s">
        <v>92</v>
      </c>
      <c r="G88" s="12">
        <v>45340</v>
      </c>
      <c r="H88" s="3">
        <v>9</v>
      </c>
      <c r="I88" s="3">
        <v>2103.7399999999998</v>
      </c>
      <c r="J88" s="2" t="str" cm="1">
        <f t="array" ref="J88">_xlfn.IFS(I88="","review",H88&lt;=0,"review",H88&gt;=100,"review",TRUE,"Ok")</f>
        <v>Ok</v>
      </c>
      <c r="K88" s="3">
        <v>0.14000000000000001</v>
      </c>
      <c r="L88" s="3">
        <v>967.02</v>
      </c>
      <c r="M88" s="3" t="s">
        <v>63</v>
      </c>
    </row>
    <row r="89" spans="1:13">
      <c r="A89" s="2" t="s">
        <v>217</v>
      </c>
      <c r="B89" s="2" t="s">
        <v>218</v>
      </c>
      <c r="C89" s="3" t="s">
        <v>73</v>
      </c>
      <c r="D89" s="3" t="s">
        <v>219</v>
      </c>
      <c r="E89" s="3" t="s">
        <v>220</v>
      </c>
      <c r="F89" s="3" t="s">
        <v>87</v>
      </c>
      <c r="G89" s="12">
        <v>45334</v>
      </c>
      <c r="H89" s="3">
        <v>2</v>
      </c>
      <c r="I89" s="3">
        <v>3774.34</v>
      </c>
      <c r="J89" s="2" t="str" cm="1">
        <f t="array" ref="J89">_xlfn.IFS(I89="","review",H89&lt;=0,"review",H89&gt;=100,"review",TRUE,"Ok")</f>
        <v>Ok</v>
      </c>
      <c r="K89" s="3">
        <v>0.04</v>
      </c>
      <c r="L89" s="3">
        <v>2815.06</v>
      </c>
      <c r="M89" s="3" t="s">
        <v>63</v>
      </c>
    </row>
    <row r="90" spans="1:13">
      <c r="A90" s="2" t="s">
        <v>335</v>
      </c>
      <c r="B90" s="2" t="s">
        <v>336</v>
      </c>
      <c r="C90" s="2" t="s">
        <v>167</v>
      </c>
      <c r="D90" s="2" t="s">
        <v>232</v>
      </c>
      <c r="E90" s="2" t="s">
        <v>176</v>
      </c>
      <c r="F90" s="2" t="s">
        <v>62</v>
      </c>
      <c r="G90" s="11">
        <v>45329</v>
      </c>
      <c r="H90" s="2">
        <v>11</v>
      </c>
      <c r="I90" s="2">
        <v>790.12</v>
      </c>
      <c r="J90" s="2" t="str" cm="1">
        <f t="array" ref="J90">_xlfn.IFS(I90="","review",H90&lt;=0,"review",H90&gt;=100,"review",TRUE,"Ok")</f>
        <v>Ok</v>
      </c>
      <c r="K90" s="2">
        <v>0.01</v>
      </c>
      <c r="L90" s="2">
        <v>492.11</v>
      </c>
      <c r="M90" s="2" t="s">
        <v>81</v>
      </c>
    </row>
    <row r="91" spans="1:13">
      <c r="A91" s="2" t="s">
        <v>586</v>
      </c>
      <c r="B91" s="2" t="s">
        <v>587</v>
      </c>
      <c r="C91" s="2" t="s">
        <v>73</v>
      </c>
      <c r="D91" s="2" t="s">
        <v>344</v>
      </c>
      <c r="E91" s="2" t="s">
        <v>142</v>
      </c>
      <c r="F91" s="2" t="s">
        <v>69</v>
      </c>
      <c r="G91" s="11">
        <v>45326</v>
      </c>
      <c r="H91" s="2">
        <v>9</v>
      </c>
      <c r="I91" s="2">
        <v>1555.42</v>
      </c>
      <c r="J91" s="2" t="str" cm="1">
        <f t="array" ref="J91">_xlfn.IFS(I91="","review",H91&lt;=0,"review",H91&gt;=100,"review",TRUE,"Ok")</f>
        <v>Ok</v>
      </c>
      <c r="K91" s="2">
        <v>0.24</v>
      </c>
      <c r="L91" s="2">
        <v>1015.86</v>
      </c>
      <c r="M91" s="2" t="s">
        <v>81</v>
      </c>
    </row>
    <row r="92" spans="1:13">
      <c r="A92" s="2" t="s">
        <v>472</v>
      </c>
      <c r="B92" s="2" t="s">
        <v>225</v>
      </c>
      <c r="C92" s="2" t="s">
        <v>84</v>
      </c>
      <c r="D92" s="2" t="s">
        <v>260</v>
      </c>
      <c r="E92" s="2" t="s">
        <v>299</v>
      </c>
      <c r="F92" s="2" t="s">
        <v>87</v>
      </c>
      <c r="G92" s="11">
        <v>45322</v>
      </c>
      <c r="H92" s="2">
        <v>8</v>
      </c>
      <c r="I92" s="2">
        <v>874.89</v>
      </c>
      <c r="J92" s="2" t="str" cm="1">
        <f t="array" ref="J92">_xlfn.IFS(I92="","review",H92&lt;=0,"review",H92&gt;=100,"review",TRUE,"Ok")</f>
        <v>Ok</v>
      </c>
      <c r="K92" s="2">
        <v>0.03</v>
      </c>
      <c r="L92" s="2">
        <v>538.23</v>
      </c>
      <c r="M92" s="2" t="s">
        <v>70</v>
      </c>
    </row>
    <row r="93" spans="1:13">
      <c r="A93" s="2" t="s">
        <v>498</v>
      </c>
      <c r="B93" s="2" t="s">
        <v>410</v>
      </c>
      <c r="C93" s="3" t="s">
        <v>95</v>
      </c>
      <c r="D93" s="3" t="s">
        <v>193</v>
      </c>
      <c r="E93" s="3" t="s">
        <v>197</v>
      </c>
      <c r="F93" s="3" t="s">
        <v>198</v>
      </c>
      <c r="G93" s="12">
        <v>45321</v>
      </c>
      <c r="H93" s="3">
        <v>15</v>
      </c>
      <c r="I93" s="3">
        <v>4749.8599999999997</v>
      </c>
      <c r="J93" s="2" t="str" cm="1">
        <f t="array" ref="J93">_xlfn.IFS(I93="","review",H93&lt;=0,"review",H93&gt;=100,"review",TRUE,"Ok")</f>
        <v>Ok</v>
      </c>
      <c r="K93" s="3">
        <v>0.06</v>
      </c>
      <c r="L93" s="3">
        <v>3036.16</v>
      </c>
      <c r="M93" s="3" t="s">
        <v>70</v>
      </c>
    </row>
    <row r="94" spans="1:13">
      <c r="A94" s="2" t="s">
        <v>509</v>
      </c>
      <c r="B94" s="2" t="s">
        <v>129</v>
      </c>
      <c r="C94" s="2" t="s">
        <v>190</v>
      </c>
      <c r="D94" s="2" t="s">
        <v>104</v>
      </c>
      <c r="E94" s="2" t="s">
        <v>257</v>
      </c>
      <c r="F94" s="2" t="s">
        <v>69</v>
      </c>
      <c r="G94" s="11">
        <v>45320</v>
      </c>
      <c r="H94" s="2">
        <v>15</v>
      </c>
      <c r="I94" s="2">
        <v>1606.21</v>
      </c>
      <c r="J94" s="2" t="str" cm="1">
        <f t="array" ref="J94">_xlfn.IFS(I94="","review",H94&lt;=0,"review",H94&gt;=100,"review",TRUE,"Ok")</f>
        <v>Ok</v>
      </c>
      <c r="K94" s="2">
        <v>0.27</v>
      </c>
      <c r="L94" s="2">
        <v>1040.48</v>
      </c>
      <c r="M94" s="2" t="s">
        <v>81</v>
      </c>
    </row>
    <row r="95" spans="1:13">
      <c r="A95" s="2" t="s">
        <v>468</v>
      </c>
      <c r="B95" s="2" t="s">
        <v>158</v>
      </c>
      <c r="C95" s="3" t="s">
        <v>130</v>
      </c>
      <c r="D95" s="3" t="s">
        <v>355</v>
      </c>
      <c r="E95" s="3" t="s">
        <v>117</v>
      </c>
      <c r="F95" s="3" t="s">
        <v>62</v>
      </c>
      <c r="G95" s="12">
        <v>45316</v>
      </c>
      <c r="H95" s="3">
        <v>13</v>
      </c>
      <c r="I95" s="3">
        <v>1513.42</v>
      </c>
      <c r="J95" s="2" t="str" cm="1">
        <f t="array" ref="J95">_xlfn.IFS(I95="","review",H95&lt;=0,"review",H95&gt;=100,"review",TRUE,"Ok")</f>
        <v>Ok</v>
      </c>
      <c r="K95" s="3">
        <v>0.05</v>
      </c>
      <c r="L95" s="3">
        <v>785.47</v>
      </c>
      <c r="M95" s="3" t="s">
        <v>81</v>
      </c>
    </row>
    <row r="96" spans="1:13">
      <c r="A96" s="2" t="s">
        <v>517</v>
      </c>
      <c r="B96" s="2" t="s">
        <v>518</v>
      </c>
      <c r="C96" s="3" t="s">
        <v>167</v>
      </c>
      <c r="D96" s="3" t="s">
        <v>380</v>
      </c>
      <c r="E96" s="3" t="s">
        <v>257</v>
      </c>
      <c r="F96" s="3" t="s">
        <v>69</v>
      </c>
      <c r="G96" s="12">
        <v>45314</v>
      </c>
      <c r="H96" s="3">
        <v>2</v>
      </c>
      <c r="I96" s="3">
        <v>632.91999999999996</v>
      </c>
      <c r="J96" s="2" t="str" cm="1">
        <f t="array" ref="J96">_xlfn.IFS(I96="","review",H96&lt;=0,"review",H96&gt;=100,"review",TRUE,"Ok")</f>
        <v>Ok</v>
      </c>
      <c r="K96" s="3">
        <v>0.15</v>
      </c>
      <c r="L96" s="3">
        <v>339.25</v>
      </c>
      <c r="M96" s="3" t="s">
        <v>98</v>
      </c>
    </row>
    <row r="97" spans="1:13">
      <c r="A97" s="2" t="s">
        <v>442</v>
      </c>
      <c r="B97" s="2" t="s">
        <v>1264</v>
      </c>
      <c r="C97" s="3" t="s">
        <v>73</v>
      </c>
      <c r="D97" s="3" t="s">
        <v>341</v>
      </c>
      <c r="E97" s="3" t="s">
        <v>297</v>
      </c>
      <c r="F97" s="3" t="s">
        <v>198</v>
      </c>
      <c r="G97" s="12">
        <v>45311</v>
      </c>
      <c r="H97" s="3">
        <v>14</v>
      </c>
      <c r="I97" s="3">
        <v>286.63</v>
      </c>
      <c r="J97" s="2" t="str" cm="1">
        <f t="array" ref="J97">_xlfn.IFS(I97="","review",H97&lt;=0,"review",H97&gt;=100,"review",TRUE,"Ok")</f>
        <v>Ok</v>
      </c>
      <c r="K97" s="3">
        <v>0.09</v>
      </c>
      <c r="L97" s="3">
        <v>153.32</v>
      </c>
      <c r="M97" s="3" t="s">
        <v>81</v>
      </c>
    </row>
    <row r="98" spans="1:13">
      <c r="A98" s="2" t="s">
        <v>458</v>
      </c>
      <c r="B98" s="2" t="s">
        <v>238</v>
      </c>
      <c r="C98" s="2" t="s">
        <v>73</v>
      </c>
      <c r="D98" s="2" t="s">
        <v>344</v>
      </c>
      <c r="E98" s="2" t="s">
        <v>117</v>
      </c>
      <c r="F98" s="2" t="s">
        <v>62</v>
      </c>
      <c r="G98" s="11">
        <v>45311</v>
      </c>
      <c r="H98" s="2">
        <v>4</v>
      </c>
      <c r="I98" s="2">
        <v>2151.27</v>
      </c>
      <c r="J98" s="2" t="str" cm="1">
        <f t="array" ref="J98">_xlfn.IFS(I98="","review",H98&lt;=0,"review",H98&gt;=100,"review",TRUE,"Ok")</f>
        <v>Ok</v>
      </c>
      <c r="K98" s="2">
        <v>0.1</v>
      </c>
      <c r="L98" s="2">
        <v>1446.46</v>
      </c>
      <c r="M98" s="2" t="s">
        <v>81</v>
      </c>
    </row>
    <row r="99" spans="1:13">
      <c r="A99" s="2" t="s">
        <v>431</v>
      </c>
      <c r="B99" s="2" t="s">
        <v>296</v>
      </c>
      <c r="C99" s="2" t="s">
        <v>66</v>
      </c>
      <c r="D99" s="2" t="s">
        <v>90</v>
      </c>
      <c r="E99" s="2" t="s">
        <v>188</v>
      </c>
      <c r="F99" s="2" t="s">
        <v>135</v>
      </c>
      <c r="G99" s="11">
        <v>45309</v>
      </c>
      <c r="H99" s="2">
        <v>3</v>
      </c>
      <c r="I99" s="2">
        <v>1612.2</v>
      </c>
      <c r="J99" s="2" t="str" cm="1">
        <f t="array" ref="J99">_xlfn.IFS(I99="","review",H99&lt;=0,"review",H99&gt;=100,"review",TRUE,"Ok")</f>
        <v>Ok</v>
      </c>
      <c r="K99" s="2">
        <v>0.13</v>
      </c>
      <c r="L99" s="2">
        <v>1084.1099999999999</v>
      </c>
      <c r="M99" s="2" t="s">
        <v>70</v>
      </c>
    </row>
    <row r="100" spans="1:13">
      <c r="A100" s="2" t="s">
        <v>515</v>
      </c>
      <c r="B100" s="2" t="s">
        <v>449</v>
      </c>
      <c r="C100" s="3" t="s">
        <v>95</v>
      </c>
      <c r="D100" s="3" t="s">
        <v>74</v>
      </c>
      <c r="E100" s="3" t="s">
        <v>194</v>
      </c>
      <c r="F100" s="3" t="s">
        <v>87</v>
      </c>
      <c r="G100" s="12">
        <v>45304</v>
      </c>
      <c r="H100" s="3">
        <v>9</v>
      </c>
      <c r="I100" s="3">
        <v>2612.84</v>
      </c>
      <c r="J100" s="2" t="str" cm="1">
        <f t="array" ref="J100">_xlfn.IFS(I100="","review",H100&lt;=0,"review",H100&gt;=100,"review",TRUE,"Ok")</f>
        <v>Ok</v>
      </c>
      <c r="K100" s="3">
        <v>0.01</v>
      </c>
      <c r="L100" s="3">
        <v>1741.87</v>
      </c>
      <c r="M100" s="3" t="s">
        <v>98</v>
      </c>
    </row>
    <row r="101" spans="1:13">
      <c r="A101" s="2" t="s">
        <v>572</v>
      </c>
      <c r="B101" s="2" t="s">
        <v>250</v>
      </c>
      <c r="C101" s="3" t="s">
        <v>95</v>
      </c>
      <c r="D101" s="3" t="s">
        <v>350</v>
      </c>
      <c r="E101" s="3" t="s">
        <v>149</v>
      </c>
      <c r="F101" s="3" t="s">
        <v>92</v>
      </c>
      <c r="G101" s="12">
        <v>45303</v>
      </c>
      <c r="H101" s="3">
        <v>10</v>
      </c>
      <c r="I101" s="3">
        <v>417.12</v>
      </c>
      <c r="J101" s="2" t="str" cm="1">
        <f t="array" ref="J101">_xlfn.IFS(I101="","review",H101&lt;=0,"review",H101&gt;=100,"review",TRUE,"Ok")</f>
        <v>Ok</v>
      </c>
      <c r="K101" s="3">
        <v>0.12</v>
      </c>
      <c r="L101" s="3">
        <v>270.06</v>
      </c>
      <c r="M101" s="3" t="s">
        <v>76</v>
      </c>
    </row>
    <row r="102" spans="1:13">
      <c r="A102" s="2" t="s">
        <v>591</v>
      </c>
      <c r="B102" s="2" t="s">
        <v>592</v>
      </c>
      <c r="C102" s="3" t="s">
        <v>107</v>
      </c>
      <c r="D102" s="3" t="s">
        <v>213</v>
      </c>
      <c r="E102" s="3" t="s">
        <v>276</v>
      </c>
      <c r="F102" s="3" t="s">
        <v>87</v>
      </c>
      <c r="G102" s="12">
        <v>45301</v>
      </c>
      <c r="H102" s="3">
        <v>11</v>
      </c>
      <c r="I102" s="3">
        <v>1166.08</v>
      </c>
      <c r="J102" s="2" t="str" cm="1">
        <f t="array" ref="J102">_xlfn.IFS(I102="","review",H102&lt;=0,"review",H102&gt;=100,"review",TRUE,"Ok")</f>
        <v>Ok</v>
      </c>
      <c r="K102" s="3">
        <v>0.13</v>
      </c>
      <c r="L102" s="3">
        <v>783.52</v>
      </c>
      <c r="M102" s="3" t="s">
        <v>63</v>
      </c>
    </row>
    <row r="103" spans="1:13">
      <c r="A103" s="2" t="s">
        <v>401</v>
      </c>
      <c r="B103" s="2" t="s">
        <v>225</v>
      </c>
      <c r="C103" s="3" t="s">
        <v>66</v>
      </c>
      <c r="D103" s="3" t="s">
        <v>350</v>
      </c>
      <c r="E103" s="3" t="s">
        <v>188</v>
      </c>
      <c r="F103" s="3" t="s">
        <v>135</v>
      </c>
      <c r="G103" s="12">
        <v>45297</v>
      </c>
      <c r="H103" s="3">
        <v>2</v>
      </c>
      <c r="I103" s="3">
        <v>1243.57</v>
      </c>
      <c r="J103" s="2" t="str" cm="1">
        <f t="array" ref="J103">_xlfn.IFS(I103="","review",H103&lt;=0,"review",H103&gt;=100,"review",TRUE,"Ok")</f>
        <v>Ok</v>
      </c>
      <c r="K103" s="3">
        <v>0.27</v>
      </c>
      <c r="L103" s="3">
        <v>682.82</v>
      </c>
      <c r="M103" s="3" t="s">
        <v>76</v>
      </c>
    </row>
    <row r="104" spans="1:13">
      <c r="A104" s="2" t="s">
        <v>332</v>
      </c>
      <c r="B104" s="2" t="s">
        <v>333</v>
      </c>
      <c r="C104" s="3" t="s">
        <v>120</v>
      </c>
      <c r="D104" s="3" t="s">
        <v>334</v>
      </c>
      <c r="E104" s="3" t="s">
        <v>61</v>
      </c>
      <c r="F104" s="3" t="s">
        <v>62</v>
      </c>
      <c r="G104" s="12">
        <v>45296</v>
      </c>
      <c r="H104" s="3">
        <v>15</v>
      </c>
      <c r="I104" s="3">
        <v>1117.49</v>
      </c>
      <c r="J104" s="2" t="str" cm="1">
        <f t="array" ref="J104">_xlfn.IFS(I104="","review",H104&lt;=0,"review",H104&gt;=100,"review",TRUE,"Ok")</f>
        <v>Ok</v>
      </c>
      <c r="K104" s="3">
        <v>0.14000000000000001</v>
      </c>
      <c r="L104" s="3">
        <v>810.09</v>
      </c>
      <c r="M104" s="3" t="s">
        <v>76</v>
      </c>
    </row>
    <row r="105" spans="1:13">
      <c r="A105" s="2" t="s">
        <v>519</v>
      </c>
      <c r="B105" s="2" t="s">
        <v>415</v>
      </c>
      <c r="C105" s="2" t="s">
        <v>190</v>
      </c>
      <c r="D105" s="2" t="s">
        <v>112</v>
      </c>
      <c r="E105" s="2" t="s">
        <v>91</v>
      </c>
      <c r="F105" s="2" t="s">
        <v>92</v>
      </c>
      <c r="G105" s="11">
        <v>45296</v>
      </c>
      <c r="H105" s="2">
        <v>12</v>
      </c>
      <c r="I105" s="2">
        <v>3886.07</v>
      </c>
      <c r="J105" s="2" t="str" cm="1">
        <f t="array" ref="J105">_xlfn.IFS(I105="","review",H105&lt;=0,"review",H105&gt;=100,"review",TRUE,"Ok")</f>
        <v>Ok</v>
      </c>
      <c r="K105" s="2">
        <v>0.28999999999999998</v>
      </c>
      <c r="L105" s="2">
        <v>2334.23</v>
      </c>
      <c r="M105" s="2" t="s">
        <v>63</v>
      </c>
    </row>
    <row r="106" spans="1:13">
      <c r="A106" s="2" t="s">
        <v>555</v>
      </c>
      <c r="B106" s="2" t="s">
        <v>556</v>
      </c>
      <c r="C106" s="3" t="s">
        <v>59</v>
      </c>
      <c r="D106" s="3" t="s">
        <v>108</v>
      </c>
      <c r="E106" s="3" t="s">
        <v>117</v>
      </c>
      <c r="F106" s="3" t="s">
        <v>62</v>
      </c>
      <c r="G106" s="12">
        <v>45295</v>
      </c>
      <c r="H106" s="3">
        <v>11</v>
      </c>
      <c r="I106" s="3">
        <v>2882.77</v>
      </c>
      <c r="J106" s="2" t="str" cm="1">
        <f t="array" ref="J106">_xlfn.IFS(I106="","review",H106&lt;=0,"review",H106&gt;=100,"review",TRUE,"Ok")</f>
        <v>Ok</v>
      </c>
      <c r="K106" s="3">
        <v>0.21</v>
      </c>
      <c r="L106" s="3">
        <v>1583.74</v>
      </c>
      <c r="M106" s="3" t="s">
        <v>81</v>
      </c>
    </row>
    <row r="107" spans="1:13">
      <c r="A107" s="2" t="s">
        <v>417</v>
      </c>
      <c r="B107" s="2" t="s">
        <v>418</v>
      </c>
      <c r="C107" s="2" t="s">
        <v>107</v>
      </c>
      <c r="D107" s="2" t="s">
        <v>306</v>
      </c>
      <c r="E107" s="2" t="s">
        <v>194</v>
      </c>
      <c r="F107" s="2" t="s">
        <v>87</v>
      </c>
      <c r="G107" s="11">
        <v>45283</v>
      </c>
      <c r="H107" s="2">
        <v>16</v>
      </c>
      <c r="I107" s="2">
        <v>4905.05</v>
      </c>
      <c r="J107" s="2" t="str" cm="1">
        <f t="array" ref="J107">_xlfn.IFS(I107="","review",H107&lt;=0,"review",H107&gt;=100,"review",TRUE,"Ok")</f>
        <v>Ok</v>
      </c>
      <c r="K107" s="2">
        <v>0.18</v>
      </c>
      <c r="L107" s="2">
        <v>3391.33</v>
      </c>
      <c r="M107" s="2" t="s">
        <v>70</v>
      </c>
    </row>
    <row r="108" spans="1:13">
      <c r="A108" s="2" t="s">
        <v>379</v>
      </c>
      <c r="B108" s="2" t="s">
        <v>324</v>
      </c>
      <c r="C108" s="3" t="s">
        <v>130</v>
      </c>
      <c r="D108" s="3" t="s">
        <v>380</v>
      </c>
      <c r="E108" s="3" t="s">
        <v>68</v>
      </c>
      <c r="F108" s="3" t="s">
        <v>69</v>
      </c>
      <c r="G108" s="12">
        <v>45269</v>
      </c>
      <c r="H108" s="3">
        <v>12</v>
      </c>
      <c r="I108" s="4">
        <f>AVERAGE(I127,I185,I256,I290 )</f>
        <v>2761.7650000000003</v>
      </c>
      <c r="J108" s="2" t="str" cm="1">
        <f t="array" ref="J108">_xlfn.IFS(I108="","review",H108&lt;=0,"review",H108&gt;=100,"review",TRUE,"Ok")</f>
        <v>Ok</v>
      </c>
      <c r="K108" s="3">
        <v>0.31</v>
      </c>
      <c r="L108" s="3">
        <v>2915.88</v>
      </c>
      <c r="M108" s="3" t="s">
        <v>76</v>
      </c>
    </row>
    <row r="109" spans="1:13">
      <c r="A109" s="2" t="s">
        <v>211</v>
      </c>
      <c r="B109" s="2" t="s">
        <v>212</v>
      </c>
      <c r="C109" s="3" t="s">
        <v>167</v>
      </c>
      <c r="D109" s="3" t="s">
        <v>213</v>
      </c>
      <c r="E109" s="3" t="s">
        <v>80</v>
      </c>
      <c r="F109" s="3" t="s">
        <v>62</v>
      </c>
      <c r="G109" s="12">
        <v>45268</v>
      </c>
      <c r="H109" s="3">
        <v>5</v>
      </c>
      <c r="I109" s="3">
        <v>4849.46</v>
      </c>
      <c r="J109" s="2" t="str" cm="1">
        <f t="array" ref="J109">_xlfn.IFS(I109="","review",H109&lt;=0,"review",H109&gt;=100,"review",TRUE,"Ok")</f>
        <v>Ok</v>
      </c>
      <c r="K109" s="3">
        <v>0.27</v>
      </c>
      <c r="L109" s="3">
        <v>2269.92</v>
      </c>
      <c r="M109" s="3" t="s">
        <v>63</v>
      </c>
    </row>
    <row r="110" spans="1:13">
      <c r="A110" s="2" t="s">
        <v>304</v>
      </c>
      <c r="B110" s="2" t="s">
        <v>305</v>
      </c>
      <c r="C110" s="3" t="s">
        <v>190</v>
      </c>
      <c r="D110" s="3" t="s">
        <v>306</v>
      </c>
      <c r="E110" s="3" t="s">
        <v>201</v>
      </c>
      <c r="F110" s="3" t="s">
        <v>198</v>
      </c>
      <c r="G110" s="12">
        <v>45268</v>
      </c>
      <c r="H110" s="3">
        <v>12</v>
      </c>
      <c r="I110" s="3">
        <v>1627.49</v>
      </c>
      <c r="J110" s="2" t="str" cm="1">
        <f t="array" ref="J110">_xlfn.IFS(I110="","review",H110&lt;=0,"review",H110&gt;=100,"review",TRUE,"Ok")</f>
        <v>Ok</v>
      </c>
      <c r="K110" s="3">
        <v>0.14000000000000001</v>
      </c>
      <c r="L110" s="3">
        <v>765.23</v>
      </c>
      <c r="M110" s="3" t="s">
        <v>70</v>
      </c>
    </row>
    <row r="111" spans="1:13">
      <c r="A111" s="2" t="s">
        <v>183</v>
      </c>
      <c r="B111" s="2" t="s">
        <v>184</v>
      </c>
      <c r="C111" s="3" t="s">
        <v>107</v>
      </c>
      <c r="D111" s="3" t="s">
        <v>138</v>
      </c>
      <c r="E111" s="3" t="s">
        <v>185</v>
      </c>
      <c r="F111" s="3" t="s">
        <v>92</v>
      </c>
      <c r="G111" s="12">
        <v>45258</v>
      </c>
      <c r="H111" s="3">
        <v>12</v>
      </c>
      <c r="I111" s="3">
        <v>3006.37</v>
      </c>
      <c r="J111" s="2" t="str" cm="1">
        <f t="array" ref="J111">_xlfn.IFS(I111="","review",H111&lt;=0,"review",H111&gt;=100,"review",TRUE,"Ok")</f>
        <v>Ok</v>
      </c>
      <c r="K111" s="3">
        <v>0.06</v>
      </c>
      <c r="L111" s="3">
        <v>1959.64</v>
      </c>
      <c r="M111" s="3" t="s">
        <v>76</v>
      </c>
    </row>
    <row r="112" spans="1:13">
      <c r="A112" s="2" t="s">
        <v>286</v>
      </c>
      <c r="B112" s="2" t="s">
        <v>287</v>
      </c>
      <c r="C112" s="2" t="s">
        <v>107</v>
      </c>
      <c r="D112" s="2" t="s">
        <v>96</v>
      </c>
      <c r="E112" s="2" t="s">
        <v>91</v>
      </c>
      <c r="F112" s="2" t="s">
        <v>92</v>
      </c>
      <c r="G112" s="11">
        <v>45255</v>
      </c>
      <c r="H112" s="2">
        <v>20</v>
      </c>
      <c r="I112" s="2">
        <v>503.98</v>
      </c>
      <c r="J112" s="2" t="str" cm="1">
        <f t="array" ref="J112">_xlfn.IFS(I112="","review",H112&lt;=0,"review",H112&gt;=100,"review",TRUE,"Ok")</f>
        <v>Ok</v>
      </c>
      <c r="K112" s="2">
        <v>0</v>
      </c>
      <c r="L112" s="2">
        <v>296.43</v>
      </c>
      <c r="M112" s="2" t="s">
        <v>76</v>
      </c>
    </row>
    <row r="113" spans="1:13">
      <c r="A113" s="2" t="s">
        <v>450</v>
      </c>
      <c r="B113" s="2" t="s">
        <v>451</v>
      </c>
      <c r="C113" s="3" t="s">
        <v>95</v>
      </c>
      <c r="D113" s="3" t="s">
        <v>334</v>
      </c>
      <c r="E113" s="3" t="s">
        <v>385</v>
      </c>
      <c r="F113" s="3" t="s">
        <v>135</v>
      </c>
      <c r="G113" s="12">
        <v>45255</v>
      </c>
      <c r="H113" s="3">
        <v>11</v>
      </c>
      <c r="I113" s="3">
        <v>1728.23</v>
      </c>
      <c r="J113" s="2" t="str" cm="1">
        <f t="array" ref="J113">_xlfn.IFS(I113="","review",H113&lt;=0,"review",H113&gt;=100,"review",TRUE,"Ok")</f>
        <v>Ok</v>
      </c>
      <c r="K113" s="3">
        <v>0.25</v>
      </c>
      <c r="L113" s="3">
        <v>1152.25</v>
      </c>
      <c r="M113" s="3" t="s">
        <v>70</v>
      </c>
    </row>
    <row r="114" spans="1:13">
      <c r="A114" s="2" t="s">
        <v>534</v>
      </c>
      <c r="B114" s="2" t="s">
        <v>395</v>
      </c>
      <c r="C114" s="3" t="s">
        <v>130</v>
      </c>
      <c r="D114" s="3" t="s">
        <v>104</v>
      </c>
      <c r="E114" s="3" t="s">
        <v>185</v>
      </c>
      <c r="F114" s="3" t="s">
        <v>92</v>
      </c>
      <c r="G114" s="12">
        <v>45245</v>
      </c>
      <c r="H114" s="3">
        <v>3</v>
      </c>
      <c r="I114" s="3">
        <v>4986.45</v>
      </c>
      <c r="J114" s="2" t="str" cm="1">
        <f t="array" ref="J114">_xlfn.IFS(I114="","review",H114&lt;=0,"review",H114&gt;=100,"review",TRUE,"Ok")</f>
        <v>Ok</v>
      </c>
      <c r="K114" s="3">
        <v>0.21</v>
      </c>
      <c r="L114" s="3">
        <v>3433.08</v>
      </c>
      <c r="M114" s="3" t="s">
        <v>70</v>
      </c>
    </row>
    <row r="115" spans="1:13">
      <c r="A115" s="2" t="s">
        <v>214</v>
      </c>
      <c r="B115" s="2" t="s">
        <v>215</v>
      </c>
      <c r="C115" s="2" t="s">
        <v>95</v>
      </c>
      <c r="D115" s="2" t="s">
        <v>179</v>
      </c>
      <c r="E115" s="2" t="s">
        <v>216</v>
      </c>
      <c r="F115" s="2" t="s">
        <v>135</v>
      </c>
      <c r="G115" s="11">
        <v>45242</v>
      </c>
      <c r="H115" s="2">
        <v>18</v>
      </c>
      <c r="I115" s="2">
        <v>3072.45</v>
      </c>
      <c r="J115" s="2" t="str" cm="1">
        <f t="array" ref="J115">_xlfn.IFS(I115="","review",H115&lt;=0,"review",H115&gt;=100,"review",TRUE,"Ok")</f>
        <v>Ok</v>
      </c>
      <c r="K115" s="2">
        <v>0.18</v>
      </c>
      <c r="L115" s="2">
        <v>2206.83</v>
      </c>
      <c r="M115" s="2" t="s">
        <v>70</v>
      </c>
    </row>
    <row r="116" spans="1:13">
      <c r="A116" s="2" t="s">
        <v>262</v>
      </c>
      <c r="B116" s="2" t="s">
        <v>248</v>
      </c>
      <c r="C116" s="3" t="s">
        <v>107</v>
      </c>
      <c r="D116" s="3" t="s">
        <v>263</v>
      </c>
      <c r="E116" s="3" t="s">
        <v>134</v>
      </c>
      <c r="F116" s="3" t="s">
        <v>264</v>
      </c>
      <c r="G116" s="12">
        <v>45241</v>
      </c>
      <c r="H116" s="3">
        <v>5</v>
      </c>
      <c r="I116" s="3">
        <v>4371.3599999999997</v>
      </c>
      <c r="J116" s="2" t="str" cm="1">
        <f t="array" ref="J116">_xlfn.IFS(I116="","review",H116&lt;=0,"review",H116&gt;=100,"review",TRUE,"Ok")</f>
        <v>Ok</v>
      </c>
      <c r="K116" s="3">
        <v>0.31</v>
      </c>
      <c r="L116" s="3">
        <v>2122.69</v>
      </c>
      <c r="M116" s="3" t="s">
        <v>76</v>
      </c>
    </row>
    <row r="117" spans="1:13">
      <c r="A117" s="2" t="s">
        <v>295</v>
      </c>
      <c r="B117" s="2" t="s">
        <v>296</v>
      </c>
      <c r="C117" s="2" t="s">
        <v>190</v>
      </c>
      <c r="D117" s="2" t="s">
        <v>148</v>
      </c>
      <c r="E117" s="2" t="s">
        <v>297</v>
      </c>
      <c r="F117" s="2" t="s">
        <v>198</v>
      </c>
      <c r="G117" s="11">
        <v>45240</v>
      </c>
      <c r="H117" s="2">
        <v>1</v>
      </c>
      <c r="I117" s="2">
        <v>2012.45</v>
      </c>
      <c r="J117" s="2" t="str" cm="1">
        <f t="array" ref="J117">_xlfn.IFS(I117="","review",H117&lt;=0,"review",H117&gt;=100,"review",TRUE,"Ok")</f>
        <v>Ok</v>
      </c>
      <c r="K117" s="2">
        <v>0.02</v>
      </c>
      <c r="L117" s="2">
        <v>1304.19</v>
      </c>
      <c r="M117" s="2" t="s">
        <v>98</v>
      </c>
    </row>
    <row r="118" spans="1:13">
      <c r="A118" s="2" t="s">
        <v>388</v>
      </c>
      <c r="B118" s="2" t="s">
        <v>389</v>
      </c>
      <c r="C118" s="2" t="s">
        <v>167</v>
      </c>
      <c r="D118" s="2" t="s">
        <v>260</v>
      </c>
      <c r="E118" s="2" t="s">
        <v>257</v>
      </c>
      <c r="F118" s="2" t="s">
        <v>69</v>
      </c>
      <c r="G118" s="11">
        <v>45239</v>
      </c>
      <c r="H118" s="2">
        <v>16</v>
      </c>
      <c r="I118" s="2">
        <v>4372.99</v>
      </c>
      <c r="J118" s="2" t="str" cm="1">
        <f t="array" ref="J118">_xlfn.IFS(I118="","review",H118&lt;=0,"review",H118&gt;=100,"review",TRUE,"Ok")</f>
        <v>Ok</v>
      </c>
      <c r="K118" s="2">
        <v>0.34</v>
      </c>
      <c r="L118" s="2">
        <v>2575.29</v>
      </c>
      <c r="M118" s="2" t="s">
        <v>81</v>
      </c>
    </row>
    <row r="119" spans="1:13">
      <c r="A119" s="2" t="s">
        <v>290</v>
      </c>
      <c r="B119" s="2" t="s">
        <v>205</v>
      </c>
      <c r="C119" s="3" t="s">
        <v>84</v>
      </c>
      <c r="D119" s="3" t="s">
        <v>243</v>
      </c>
      <c r="E119" s="3" t="s">
        <v>146</v>
      </c>
      <c r="F119" s="3" t="s">
        <v>69</v>
      </c>
      <c r="G119" s="12">
        <v>45234</v>
      </c>
      <c r="H119" s="3">
        <v>1</v>
      </c>
      <c r="I119" s="3">
        <v>4428.92</v>
      </c>
      <c r="J119" s="2" t="str" cm="1">
        <f t="array" ref="J119">_xlfn.IFS(I119="","review",H119&lt;=0,"review",H119&gt;=100,"review",TRUE,"Ok")</f>
        <v>Ok</v>
      </c>
      <c r="K119" s="3">
        <v>0.09</v>
      </c>
      <c r="L119" s="3">
        <v>3155.88</v>
      </c>
      <c r="M119" s="3" t="s">
        <v>63</v>
      </c>
    </row>
    <row r="120" spans="1:13">
      <c r="A120" s="2" t="s">
        <v>542</v>
      </c>
      <c r="B120" s="2" t="s">
        <v>125</v>
      </c>
      <c r="C120" s="3" t="s">
        <v>190</v>
      </c>
      <c r="D120" s="3" t="s">
        <v>85</v>
      </c>
      <c r="E120" s="3" t="s">
        <v>297</v>
      </c>
      <c r="F120" s="3" t="s">
        <v>198</v>
      </c>
      <c r="G120" s="12">
        <v>45234</v>
      </c>
      <c r="H120" s="3">
        <v>2</v>
      </c>
      <c r="I120" s="3">
        <v>1534.79</v>
      </c>
      <c r="J120" s="2" t="str" cm="1">
        <f t="array" ref="J120">_xlfn.IFS(I120="","review",H120&lt;=0,"review",H120&gt;=100,"review",TRUE,"Ok")</f>
        <v>Ok</v>
      </c>
      <c r="K120" s="3">
        <v>0.18</v>
      </c>
      <c r="L120" s="3">
        <v>727.77</v>
      </c>
      <c r="M120" s="3" t="s">
        <v>63</v>
      </c>
    </row>
    <row r="121" spans="1:13">
      <c r="A121" s="2" t="s">
        <v>478</v>
      </c>
      <c r="B121" s="2" t="s">
        <v>144</v>
      </c>
      <c r="C121" s="3" t="s">
        <v>73</v>
      </c>
      <c r="D121" s="3" t="s">
        <v>252</v>
      </c>
      <c r="E121" s="3" t="s">
        <v>261</v>
      </c>
      <c r="F121" s="3" t="s">
        <v>62</v>
      </c>
      <c r="G121" s="12">
        <v>45233</v>
      </c>
      <c r="H121" s="3">
        <v>4</v>
      </c>
      <c r="I121" s="3">
        <v>3093.51</v>
      </c>
      <c r="J121" s="2" t="str" cm="1">
        <f t="array" ref="J121">_xlfn.IFS(I121="","review",H121&lt;=0,"review",H121&gt;=100,"review",TRUE,"Ok")</f>
        <v>Ok</v>
      </c>
      <c r="K121" s="3">
        <v>0.28999999999999998</v>
      </c>
      <c r="L121" s="3">
        <v>2063.58</v>
      </c>
      <c r="M121" s="3" t="s">
        <v>70</v>
      </c>
    </row>
    <row r="122" spans="1:13">
      <c r="A122" s="2" t="s">
        <v>436</v>
      </c>
      <c r="B122" s="2" t="s">
        <v>333</v>
      </c>
      <c r="C122" s="2" t="s">
        <v>84</v>
      </c>
      <c r="D122" s="2" t="s">
        <v>322</v>
      </c>
      <c r="E122" s="2" t="s">
        <v>197</v>
      </c>
      <c r="F122" s="2" t="s">
        <v>198</v>
      </c>
      <c r="G122" s="11">
        <v>45231</v>
      </c>
      <c r="H122" s="2">
        <v>1</v>
      </c>
      <c r="I122" s="2">
        <v>2393.33</v>
      </c>
      <c r="J122" s="2" t="str" cm="1">
        <f t="array" ref="J122">_xlfn.IFS(I122="","review",H122&lt;=0,"review",H122&gt;=100,"review",TRUE,"Ok")</f>
        <v>Ok</v>
      </c>
      <c r="K122" s="2">
        <v>0.19</v>
      </c>
      <c r="L122" s="2">
        <v>1576.46</v>
      </c>
      <c r="M122" s="2" t="s">
        <v>70</v>
      </c>
    </row>
    <row r="123" spans="1:13">
      <c r="A123" s="2" t="s">
        <v>328</v>
      </c>
      <c r="B123" s="2" t="s">
        <v>140</v>
      </c>
      <c r="C123" s="2" t="s">
        <v>167</v>
      </c>
      <c r="D123" s="2" t="s">
        <v>263</v>
      </c>
      <c r="E123" s="2" t="s">
        <v>149</v>
      </c>
      <c r="F123" s="2" t="s">
        <v>92</v>
      </c>
      <c r="G123" s="11">
        <v>45226</v>
      </c>
      <c r="H123" s="2">
        <v>7</v>
      </c>
      <c r="I123" s="2">
        <v>3095.97</v>
      </c>
      <c r="J123" s="2" t="str" cm="1">
        <f t="array" ref="J123">_xlfn.IFS(I123="","review",H123&lt;=0,"review",H123&gt;=100,"review",TRUE,"Ok")</f>
        <v>Ok</v>
      </c>
      <c r="K123" s="2">
        <v>0.13</v>
      </c>
      <c r="L123" s="2">
        <v>1523.34</v>
      </c>
      <c r="M123" s="2" t="s">
        <v>76</v>
      </c>
    </row>
    <row r="124" spans="1:13">
      <c r="A124" s="2" t="s">
        <v>558</v>
      </c>
      <c r="B124" s="2" t="s">
        <v>200</v>
      </c>
      <c r="C124" s="3" t="s">
        <v>84</v>
      </c>
      <c r="D124" s="3" t="s">
        <v>171</v>
      </c>
      <c r="E124" s="3" t="s">
        <v>86</v>
      </c>
      <c r="F124" s="3" t="s">
        <v>87</v>
      </c>
      <c r="G124" s="12">
        <v>45225</v>
      </c>
      <c r="H124" s="3">
        <v>17</v>
      </c>
      <c r="I124" s="3">
        <v>4915.91</v>
      </c>
      <c r="J124" s="2" t="str" cm="1">
        <f t="array" ref="J124">_xlfn.IFS(I124="","review",H124&lt;=0,"review",H124&gt;=100,"review",TRUE,"Ok")</f>
        <v>Ok</v>
      </c>
      <c r="K124" s="3">
        <v>0.14000000000000001</v>
      </c>
      <c r="L124" s="3">
        <v>3648.35</v>
      </c>
      <c r="M124" s="3" t="s">
        <v>81</v>
      </c>
    </row>
    <row r="125" spans="1:13">
      <c r="A125" s="2" t="s">
        <v>224</v>
      </c>
      <c r="B125" s="2" t="s">
        <v>225</v>
      </c>
      <c r="C125" s="3" t="s">
        <v>190</v>
      </c>
      <c r="D125" s="3" t="s">
        <v>60</v>
      </c>
      <c r="E125" s="3" t="s">
        <v>97</v>
      </c>
      <c r="F125" s="3" t="s">
        <v>92</v>
      </c>
      <c r="G125" s="12">
        <v>45221</v>
      </c>
      <c r="H125" s="3">
        <v>18</v>
      </c>
      <c r="I125" s="3">
        <v>1208.31</v>
      </c>
      <c r="J125" s="2" t="str" cm="1">
        <f t="array" ref="J125">_xlfn.IFS(I125="","review",H125&lt;=0,"review",H125&gt;=100,"review",TRUE,"Ok")</f>
        <v>Ok</v>
      </c>
      <c r="K125" s="3">
        <v>0.04</v>
      </c>
      <c r="L125" s="3">
        <v>647.80999999999995</v>
      </c>
      <c r="M125" s="3" t="s">
        <v>98</v>
      </c>
    </row>
    <row r="126" spans="1:13">
      <c r="A126" s="2" t="s">
        <v>595</v>
      </c>
      <c r="B126" s="2" t="s">
        <v>210</v>
      </c>
      <c r="C126" s="3" t="s">
        <v>66</v>
      </c>
      <c r="D126" s="3" t="s">
        <v>306</v>
      </c>
      <c r="E126" s="3" t="s">
        <v>122</v>
      </c>
      <c r="F126" s="3" t="s">
        <v>123</v>
      </c>
      <c r="G126" s="12">
        <v>45221</v>
      </c>
      <c r="H126" s="3">
        <v>12</v>
      </c>
      <c r="I126" s="3">
        <v>440.36</v>
      </c>
      <c r="J126" s="2" t="str" cm="1">
        <f t="array" ref="J126">_xlfn.IFS(I126="","review",H126&lt;=0,"review",H126&gt;=100,"review",TRUE,"Ok")</f>
        <v>Ok</v>
      </c>
      <c r="K126" s="3">
        <v>0.16</v>
      </c>
      <c r="L126" s="3">
        <v>296.64</v>
      </c>
      <c r="M126" s="3" t="s">
        <v>81</v>
      </c>
    </row>
    <row r="127" spans="1:13">
      <c r="A127" s="2" t="s">
        <v>240</v>
      </c>
      <c r="B127" s="2" t="s">
        <v>241</v>
      </c>
      <c r="C127" s="2" t="s">
        <v>84</v>
      </c>
      <c r="D127" s="2" t="s">
        <v>155</v>
      </c>
      <c r="E127" s="2" t="s">
        <v>68</v>
      </c>
      <c r="F127" s="2" t="s">
        <v>69</v>
      </c>
      <c r="G127" s="11">
        <v>45213</v>
      </c>
      <c r="H127" s="2">
        <v>2</v>
      </c>
      <c r="I127" s="2">
        <v>2873.58</v>
      </c>
      <c r="J127" s="2" t="str" cm="1">
        <f t="array" ref="J127">_xlfn.IFS(I127="","review",H127&lt;=0,"review",H127&gt;=100,"review",TRUE,"Ok")</f>
        <v>Ok</v>
      </c>
      <c r="K127" s="2">
        <v>0.34</v>
      </c>
      <c r="L127" s="2">
        <v>2061.5100000000002</v>
      </c>
      <c r="M127" s="2" t="s">
        <v>70</v>
      </c>
    </row>
    <row r="128" spans="1:13">
      <c r="A128" s="2" t="s">
        <v>88</v>
      </c>
      <c r="B128" s="2" t="s">
        <v>89</v>
      </c>
      <c r="C128" s="3" t="s">
        <v>66</v>
      </c>
      <c r="D128" s="3" t="s">
        <v>90</v>
      </c>
      <c r="E128" s="3" t="s">
        <v>91</v>
      </c>
      <c r="F128" s="3" t="s">
        <v>92</v>
      </c>
      <c r="G128" s="12">
        <v>45198</v>
      </c>
      <c r="H128" s="3">
        <v>11</v>
      </c>
      <c r="I128" s="3">
        <v>1675.96</v>
      </c>
      <c r="J128" s="2" t="str" cm="1">
        <f t="array" ref="J128">_xlfn.IFS(I128="","review",H128&lt;=0,"review",H128&gt;=100,"review",TRUE,"Ok")</f>
        <v>Ok</v>
      </c>
      <c r="K128" s="3">
        <v>0.21</v>
      </c>
      <c r="L128" s="3">
        <v>1137.24</v>
      </c>
      <c r="M128" s="3" t="s">
        <v>81</v>
      </c>
    </row>
    <row r="129" spans="1:13">
      <c r="A129" s="2" t="s">
        <v>427</v>
      </c>
      <c r="B129" s="2" t="s">
        <v>428</v>
      </c>
      <c r="C129" s="3" t="s">
        <v>84</v>
      </c>
      <c r="D129" s="3" t="s">
        <v>309</v>
      </c>
      <c r="E129" s="3" t="s">
        <v>185</v>
      </c>
      <c r="F129" s="3" t="s">
        <v>92</v>
      </c>
      <c r="G129" s="12">
        <v>45194</v>
      </c>
      <c r="H129" s="3">
        <v>17</v>
      </c>
      <c r="I129" s="3">
        <v>1047.8800000000001</v>
      </c>
      <c r="J129" s="2" t="str" cm="1">
        <f t="array" ref="J129">_xlfn.IFS(I129="","review",H129&lt;=0,"review",H129&gt;=100,"review",TRUE,"Ok")</f>
        <v>Ok</v>
      </c>
      <c r="K129" s="3">
        <v>0.2</v>
      </c>
      <c r="L129" s="3">
        <v>757.3</v>
      </c>
      <c r="M129" s="3" t="s">
        <v>81</v>
      </c>
    </row>
    <row r="130" spans="1:13">
      <c r="A130" s="2" t="s">
        <v>488</v>
      </c>
      <c r="B130" s="2" t="s">
        <v>65</v>
      </c>
      <c r="C130" s="3" t="s">
        <v>95</v>
      </c>
      <c r="D130" s="3" t="s">
        <v>67</v>
      </c>
      <c r="E130" s="3" t="s">
        <v>220</v>
      </c>
      <c r="F130" s="3" t="s">
        <v>87</v>
      </c>
      <c r="G130" s="12">
        <v>45185</v>
      </c>
      <c r="H130" s="3">
        <v>9</v>
      </c>
      <c r="I130" s="3">
        <v>204.15</v>
      </c>
      <c r="J130" s="2" t="str" cm="1">
        <f t="array" ref="J130">_xlfn.IFS(I130="","review",H130&lt;=0,"review",H130&gt;=100,"review",TRUE,"Ok")</f>
        <v>Ok</v>
      </c>
      <c r="K130" s="3">
        <v>0.08</v>
      </c>
      <c r="L130" s="3">
        <v>150.49</v>
      </c>
      <c r="M130" s="3" t="s">
        <v>76</v>
      </c>
    </row>
    <row r="131" spans="1:13">
      <c r="A131" s="2" t="s">
        <v>482</v>
      </c>
      <c r="B131" s="2" t="s">
        <v>65</v>
      </c>
      <c r="C131" s="3" t="s">
        <v>130</v>
      </c>
      <c r="D131" s="3" t="s">
        <v>306</v>
      </c>
      <c r="E131" s="3" t="s">
        <v>246</v>
      </c>
      <c r="F131" s="3" t="s">
        <v>198</v>
      </c>
      <c r="G131" s="12">
        <v>45180</v>
      </c>
      <c r="H131" s="3">
        <v>12</v>
      </c>
      <c r="I131" s="3">
        <v>333.92</v>
      </c>
      <c r="J131" s="2" t="str" cm="1">
        <f t="array" ref="J131">_xlfn.IFS(I131="","review",H131&lt;=0,"review",H131&gt;=100,"review",TRUE,"Ok")</f>
        <v>Ok</v>
      </c>
      <c r="K131" s="3">
        <v>0.04</v>
      </c>
      <c r="L131" s="3">
        <v>185.54</v>
      </c>
      <c r="M131" s="3" t="s">
        <v>76</v>
      </c>
    </row>
    <row r="132" spans="1:13">
      <c r="A132" s="2" t="s">
        <v>580</v>
      </c>
      <c r="B132" s="2" t="s">
        <v>518</v>
      </c>
      <c r="C132" s="3" t="s">
        <v>120</v>
      </c>
      <c r="D132" s="3" t="s">
        <v>344</v>
      </c>
      <c r="E132" s="3" t="s">
        <v>97</v>
      </c>
      <c r="F132" s="3" t="s">
        <v>92</v>
      </c>
      <c r="G132" s="12">
        <v>45179</v>
      </c>
      <c r="H132" s="3">
        <v>11</v>
      </c>
      <c r="I132" s="3">
        <v>688.71</v>
      </c>
      <c r="J132" s="2" t="str" cm="1">
        <f t="array" ref="J132">_xlfn.IFS(I132="","review",H132&lt;=0,"review",H132&gt;=100,"review",TRUE,"Ok")</f>
        <v>Ok</v>
      </c>
      <c r="K132" s="3">
        <v>0.06</v>
      </c>
      <c r="L132" s="3">
        <v>501.84</v>
      </c>
      <c r="M132" s="3" t="s">
        <v>81</v>
      </c>
    </row>
    <row r="133" spans="1:13">
      <c r="A133" s="2" t="s">
        <v>320</v>
      </c>
      <c r="B133" s="2" t="s">
        <v>321</v>
      </c>
      <c r="C133" s="3" t="s">
        <v>73</v>
      </c>
      <c r="D133" s="3" t="s">
        <v>322</v>
      </c>
      <c r="E133" s="3" t="s">
        <v>152</v>
      </c>
      <c r="F133" s="3" t="s">
        <v>92</v>
      </c>
      <c r="G133" s="12">
        <v>45175</v>
      </c>
      <c r="H133" s="3">
        <v>1</v>
      </c>
      <c r="I133" s="3">
        <v>4164</v>
      </c>
      <c r="J133" s="2" t="str" cm="1">
        <f t="array" ref="J133">_xlfn.IFS(I133="","review",H133&lt;=0,"review",H133&gt;=100,"review",TRUE,"Ok")</f>
        <v>Ok</v>
      </c>
      <c r="K133" s="3">
        <v>0.13</v>
      </c>
      <c r="L133" s="3">
        <v>2548.0700000000002</v>
      </c>
      <c r="M133" s="3" t="s">
        <v>98</v>
      </c>
    </row>
    <row r="134" spans="1:13">
      <c r="A134" s="2" t="s">
        <v>381</v>
      </c>
      <c r="B134" s="2" t="s">
        <v>308</v>
      </c>
      <c r="C134" s="2" t="s">
        <v>59</v>
      </c>
      <c r="D134" s="2" t="s">
        <v>96</v>
      </c>
      <c r="E134" s="2" t="s">
        <v>297</v>
      </c>
      <c r="F134" s="2" t="s">
        <v>198</v>
      </c>
      <c r="G134" s="11">
        <v>45174</v>
      </c>
      <c r="H134" s="2">
        <v>14</v>
      </c>
      <c r="I134" s="2">
        <v>2743.21</v>
      </c>
      <c r="J134" s="2" t="str" cm="1">
        <f t="array" ref="J134">_xlfn.IFS(I134="","review",H134&lt;=0,"review",H134&gt;=100,"review",TRUE,"Ok")</f>
        <v>Ok</v>
      </c>
      <c r="K134" s="2">
        <v>0.22</v>
      </c>
      <c r="L134" s="2">
        <v>1432.75</v>
      </c>
      <c r="M134" s="2" t="s">
        <v>70</v>
      </c>
    </row>
    <row r="135" spans="1:13">
      <c r="A135" s="2" t="s">
        <v>199</v>
      </c>
      <c r="B135" s="2" t="s">
        <v>200</v>
      </c>
      <c r="C135" s="2" t="s">
        <v>59</v>
      </c>
      <c r="D135" s="2" t="s">
        <v>104</v>
      </c>
      <c r="E135" s="2" t="s">
        <v>201</v>
      </c>
      <c r="F135" s="2" t="s">
        <v>198</v>
      </c>
      <c r="G135" s="11">
        <v>45173</v>
      </c>
      <c r="H135" s="2">
        <v>3</v>
      </c>
      <c r="I135" s="2">
        <v>4518.1499999999996</v>
      </c>
      <c r="J135" s="2" t="str" cm="1">
        <f t="array" ref="J135">_xlfn.IFS(I135="","review",H135&lt;=0,"review",H135&gt;=100,"review",TRUE,"Ok")</f>
        <v>Ok</v>
      </c>
      <c r="K135" s="2">
        <v>0.3</v>
      </c>
      <c r="L135" s="2">
        <v>2328.52</v>
      </c>
      <c r="M135" s="2" t="s">
        <v>76</v>
      </c>
    </row>
    <row r="136" spans="1:13">
      <c r="A136" s="2" t="s">
        <v>402</v>
      </c>
      <c r="B136" s="2" t="s">
        <v>346</v>
      </c>
      <c r="C136" s="2" t="s">
        <v>190</v>
      </c>
      <c r="D136" s="2" t="s">
        <v>126</v>
      </c>
      <c r="E136" s="2" t="s">
        <v>239</v>
      </c>
      <c r="F136" s="2" t="s">
        <v>403</v>
      </c>
      <c r="G136" s="11">
        <v>45167</v>
      </c>
      <c r="H136" s="2">
        <v>1</v>
      </c>
      <c r="I136" s="2">
        <v>3302.67</v>
      </c>
      <c r="J136" s="2" t="str" cm="1">
        <f t="array" ref="J136">_xlfn.IFS(I136="","review",H136&lt;=0,"review",H136&gt;=100,"review",TRUE,"Ok")</f>
        <v>Ok</v>
      </c>
      <c r="K136" s="2">
        <v>0.13</v>
      </c>
      <c r="L136" s="2">
        <v>1564.54</v>
      </c>
      <c r="M136" s="2" t="s">
        <v>70</v>
      </c>
    </row>
    <row r="137" spans="1:13">
      <c r="A137" s="2" t="s">
        <v>1254</v>
      </c>
      <c r="B137" s="2" t="s">
        <v>354</v>
      </c>
      <c r="C137" s="3" t="s">
        <v>84</v>
      </c>
      <c r="D137" s="3" t="s">
        <v>260</v>
      </c>
      <c r="E137" s="3" t="s">
        <v>117</v>
      </c>
      <c r="F137" s="3" t="s">
        <v>62</v>
      </c>
      <c r="G137" s="12">
        <v>45166</v>
      </c>
      <c r="H137" s="3">
        <v>7</v>
      </c>
      <c r="I137" s="3">
        <v>563.14</v>
      </c>
      <c r="J137" s="2" t="str" cm="1">
        <f t="array" ref="J137">_xlfn.IFS(I137="","review",H137&lt;=0,"review",H137&gt;=100,"review",TRUE,"Ok")</f>
        <v>Ok</v>
      </c>
      <c r="K137" s="3">
        <v>0.28999999999999998</v>
      </c>
      <c r="L137" s="3">
        <v>329.4</v>
      </c>
      <c r="M137" s="3" t="s">
        <v>98</v>
      </c>
    </row>
    <row r="138" spans="1:13">
      <c r="A138" s="2" t="s">
        <v>434</v>
      </c>
      <c r="B138" s="2" t="s">
        <v>435</v>
      </c>
      <c r="C138" s="3" t="s">
        <v>95</v>
      </c>
      <c r="D138" s="3" t="s">
        <v>309</v>
      </c>
      <c r="E138" s="3" t="s">
        <v>257</v>
      </c>
      <c r="F138" s="3" t="s">
        <v>69</v>
      </c>
      <c r="G138" s="12">
        <v>45166</v>
      </c>
      <c r="H138" s="3">
        <v>14</v>
      </c>
      <c r="I138" s="3">
        <v>4086.26</v>
      </c>
      <c r="J138" s="2" t="str" cm="1">
        <f t="array" ref="J138">_xlfn.IFS(I138="","review",H138&lt;=0,"review",H138&gt;=100,"review",TRUE,"Ok")</f>
        <v>Ok</v>
      </c>
      <c r="K138" s="3">
        <v>0.19</v>
      </c>
      <c r="L138" s="3">
        <v>2959.81</v>
      </c>
      <c r="M138" s="3" t="s">
        <v>81</v>
      </c>
    </row>
    <row r="139" spans="1:13">
      <c r="A139" s="2" t="s">
        <v>448</v>
      </c>
      <c r="B139" s="2" t="s">
        <v>449</v>
      </c>
      <c r="C139" s="2" t="s">
        <v>190</v>
      </c>
      <c r="D139" s="2" t="s">
        <v>380</v>
      </c>
      <c r="E139" s="2" t="s">
        <v>416</v>
      </c>
      <c r="F139" s="2" t="s">
        <v>123</v>
      </c>
      <c r="G139" s="11">
        <v>45166</v>
      </c>
      <c r="H139" s="2">
        <v>1</v>
      </c>
      <c r="I139" s="2">
        <v>4784.57</v>
      </c>
      <c r="J139" s="2" t="str" cm="1">
        <f t="array" ref="J139">_xlfn.IFS(I139="","review",H139&lt;=0,"review",H139&gt;=100,"review",TRUE,"Ok")</f>
        <v>Ok</v>
      </c>
      <c r="K139" s="2">
        <v>0.27</v>
      </c>
      <c r="L139" s="2">
        <v>3305.4</v>
      </c>
      <c r="M139" s="2" t="s">
        <v>70</v>
      </c>
    </row>
    <row r="140" spans="1:13">
      <c r="A140" s="2" t="s">
        <v>331</v>
      </c>
      <c r="B140" s="2" t="s">
        <v>83</v>
      </c>
      <c r="C140" s="2" t="s">
        <v>59</v>
      </c>
      <c r="D140" s="2" t="s">
        <v>213</v>
      </c>
      <c r="E140" s="2" t="s">
        <v>223</v>
      </c>
      <c r="F140" s="2" t="s">
        <v>87</v>
      </c>
      <c r="G140" s="11">
        <v>45162</v>
      </c>
      <c r="H140" s="2">
        <v>14</v>
      </c>
      <c r="I140" s="2">
        <v>144.07</v>
      </c>
      <c r="J140" s="2" t="str" cm="1">
        <f t="array" ref="J140">_xlfn.IFS(I140="","review",H140&lt;=0,"review",H140&gt;=100,"review",TRUE,"Ok")</f>
        <v>Ok</v>
      </c>
      <c r="K140" s="2">
        <v>0.21</v>
      </c>
      <c r="L140" s="2">
        <v>74.95</v>
      </c>
      <c r="M140" s="2" t="s">
        <v>98</v>
      </c>
    </row>
    <row r="141" spans="1:13">
      <c r="A141" s="2" t="s">
        <v>132</v>
      </c>
      <c r="B141" s="2" t="s">
        <v>133</v>
      </c>
      <c r="C141" s="3" t="s">
        <v>84</v>
      </c>
      <c r="D141" s="3" t="s">
        <v>121</v>
      </c>
      <c r="E141" s="3" t="s">
        <v>134</v>
      </c>
      <c r="F141" s="3" t="s">
        <v>135</v>
      </c>
      <c r="G141" s="12">
        <v>45159</v>
      </c>
      <c r="H141" s="3">
        <v>4</v>
      </c>
      <c r="I141" s="3">
        <v>1578.89</v>
      </c>
      <c r="J141" s="2" t="str" cm="1">
        <f t="array" ref="J141">_xlfn.IFS(I141="","review",H141&lt;=0,"review",H141&gt;=100,"review",TRUE,"Ok")</f>
        <v>Ok</v>
      </c>
      <c r="K141" s="3">
        <v>0.33</v>
      </c>
      <c r="L141" s="3">
        <v>1138.17</v>
      </c>
      <c r="M141" s="3" t="s">
        <v>98</v>
      </c>
    </row>
    <row r="142" spans="1:13">
      <c r="A142" s="2" t="s">
        <v>371</v>
      </c>
      <c r="B142" s="2" t="s">
        <v>287</v>
      </c>
      <c r="C142" s="3" t="s">
        <v>95</v>
      </c>
      <c r="D142" s="3" t="s">
        <v>179</v>
      </c>
      <c r="E142" s="3" t="s">
        <v>297</v>
      </c>
      <c r="F142" s="3" t="s">
        <v>198</v>
      </c>
      <c r="G142" s="12">
        <v>45151</v>
      </c>
      <c r="H142" s="3">
        <v>9</v>
      </c>
      <c r="I142" s="3">
        <v>977.2</v>
      </c>
      <c r="J142" s="2" t="str" cm="1">
        <f t="array" ref="J142">_xlfn.IFS(I142="","review",H142&lt;=0,"review",H142&gt;=100,"review",TRUE,"Ok")</f>
        <v>Ok</v>
      </c>
      <c r="K142" s="3">
        <v>0.04</v>
      </c>
      <c r="L142" s="3">
        <v>643.87</v>
      </c>
      <c r="M142" s="3" t="s">
        <v>76</v>
      </c>
    </row>
    <row r="143" spans="1:13">
      <c r="A143" s="2" t="s">
        <v>413</v>
      </c>
      <c r="B143" s="2" t="s">
        <v>336</v>
      </c>
      <c r="C143" s="2" t="s">
        <v>59</v>
      </c>
      <c r="D143" s="2" t="s">
        <v>306</v>
      </c>
      <c r="E143" s="2" t="s">
        <v>122</v>
      </c>
      <c r="F143" s="2" t="s">
        <v>123</v>
      </c>
      <c r="G143" s="11">
        <v>45148</v>
      </c>
      <c r="H143" s="2">
        <v>4</v>
      </c>
      <c r="I143" s="2">
        <v>4160.3999999999996</v>
      </c>
      <c r="J143" s="2" t="str" cm="1">
        <f t="array" ref="J143">_xlfn.IFS(I143="","review",H143&lt;=0,"review",H143&gt;=100,"review",TRUE,"Ok")</f>
        <v>Ok</v>
      </c>
      <c r="K143" s="2">
        <v>0.14000000000000001</v>
      </c>
      <c r="L143" s="2">
        <v>1921.54</v>
      </c>
      <c r="M143" s="2" t="s">
        <v>98</v>
      </c>
    </row>
    <row r="144" spans="1:13">
      <c r="A144" s="2" t="s">
        <v>195</v>
      </c>
      <c r="B144" s="2" t="s">
        <v>1264</v>
      </c>
      <c r="C144" s="3" t="s">
        <v>120</v>
      </c>
      <c r="D144" s="3" t="s">
        <v>196</v>
      </c>
      <c r="E144" s="3" t="s">
        <v>197</v>
      </c>
      <c r="F144" s="3" t="s">
        <v>198</v>
      </c>
      <c r="G144" s="12">
        <v>45141</v>
      </c>
      <c r="H144" s="3">
        <v>3</v>
      </c>
      <c r="I144" s="3">
        <v>3142.47</v>
      </c>
      <c r="J144" s="2" t="str" cm="1">
        <f t="array" ref="J144">_xlfn.IFS(I144="","review",H144&lt;=0,"review",H144&gt;=100,"review",TRUE,"Ok")</f>
        <v>Ok</v>
      </c>
      <c r="K144" s="3">
        <v>0.05</v>
      </c>
      <c r="L144" s="3">
        <v>1416.95</v>
      </c>
      <c r="M144" s="3" t="s">
        <v>70</v>
      </c>
    </row>
    <row r="145" spans="1:13">
      <c r="A145" s="2" t="s">
        <v>506</v>
      </c>
      <c r="B145" s="2" t="s">
        <v>89</v>
      </c>
      <c r="C145" s="2" t="s">
        <v>73</v>
      </c>
      <c r="D145" s="2" t="s">
        <v>207</v>
      </c>
      <c r="E145" s="2" t="s">
        <v>220</v>
      </c>
      <c r="F145" s="2" t="s">
        <v>87</v>
      </c>
      <c r="G145" s="11">
        <v>45134</v>
      </c>
      <c r="H145" s="2">
        <v>11</v>
      </c>
      <c r="I145" s="2">
        <v>731.59</v>
      </c>
      <c r="J145" s="2" t="str" cm="1">
        <f t="array" ref="J145">_xlfn.IFS(I145="","review",H145&lt;=0,"review",H145&gt;=100,"review",TRUE,"Ok")</f>
        <v>Ok</v>
      </c>
      <c r="K145" s="2">
        <v>0.1</v>
      </c>
      <c r="L145" s="2">
        <v>534.19000000000005</v>
      </c>
      <c r="M145" s="2" t="s">
        <v>81</v>
      </c>
    </row>
    <row r="146" spans="1:13">
      <c r="A146" s="2" t="s">
        <v>1255</v>
      </c>
      <c r="B146" s="2" t="s">
        <v>140</v>
      </c>
      <c r="C146" s="2" t="s">
        <v>95</v>
      </c>
      <c r="D146" s="2" t="s">
        <v>306</v>
      </c>
      <c r="E146" s="2" t="s">
        <v>185</v>
      </c>
      <c r="F146" s="2" t="s">
        <v>92</v>
      </c>
      <c r="G146" s="11">
        <v>45129</v>
      </c>
      <c r="H146" s="2">
        <v>7</v>
      </c>
      <c r="I146" s="2">
        <v>3516.09</v>
      </c>
      <c r="J146" s="2" t="str" cm="1">
        <f t="array" ref="J146">_xlfn.IFS(I146="","review",H146&lt;=0,"review",H146&gt;=100,"review",TRUE,"Ok")</f>
        <v>Ok</v>
      </c>
      <c r="K146" s="2">
        <v>0.12</v>
      </c>
      <c r="L146" s="2">
        <v>1615.66</v>
      </c>
      <c r="M146" s="2" t="s">
        <v>63</v>
      </c>
    </row>
    <row r="147" spans="1:13">
      <c r="A147" s="2" t="s">
        <v>177</v>
      </c>
      <c r="B147" s="2" t="s">
        <v>178</v>
      </c>
      <c r="C147" s="3" t="s">
        <v>167</v>
      </c>
      <c r="D147" s="3" t="s">
        <v>179</v>
      </c>
      <c r="E147" s="3" t="s">
        <v>180</v>
      </c>
      <c r="F147" s="3" t="s">
        <v>123</v>
      </c>
      <c r="G147" s="12">
        <v>45127</v>
      </c>
      <c r="H147" s="3">
        <v>11</v>
      </c>
      <c r="I147" s="3">
        <v>4388.1400000000003</v>
      </c>
      <c r="J147" s="2" t="str" cm="1">
        <f t="array" ref="J147">_xlfn.IFS(I147="","review",H147&lt;=0,"review",H147&gt;=100,"review",TRUE,"Ok")</f>
        <v>Ok</v>
      </c>
      <c r="K147" s="3">
        <v>0.16</v>
      </c>
      <c r="L147" s="3">
        <v>2717.02</v>
      </c>
      <c r="M147" s="3" t="s">
        <v>63</v>
      </c>
    </row>
    <row r="148" spans="1:13">
      <c r="A148" s="2" t="s">
        <v>522</v>
      </c>
      <c r="B148" s="2" t="s">
        <v>523</v>
      </c>
      <c r="C148" s="3" t="s">
        <v>73</v>
      </c>
      <c r="D148" s="3" t="s">
        <v>213</v>
      </c>
      <c r="E148" s="3" t="s">
        <v>127</v>
      </c>
      <c r="F148" s="3" t="s">
        <v>69</v>
      </c>
      <c r="G148" s="12">
        <v>45127</v>
      </c>
      <c r="H148" s="3">
        <v>10</v>
      </c>
      <c r="I148" s="3">
        <v>3078.79</v>
      </c>
      <c r="J148" s="2" t="str" cm="1">
        <f t="array" ref="J148">_xlfn.IFS(I148="","review",H148&lt;=0,"review",H148&gt;=100,"review",TRUE,"Ok")</f>
        <v>Ok</v>
      </c>
      <c r="K148" s="3">
        <v>0.28999999999999998</v>
      </c>
      <c r="L148" s="3">
        <v>2253.41</v>
      </c>
      <c r="M148" s="3" t="s">
        <v>98</v>
      </c>
    </row>
    <row r="149" spans="1:13">
      <c r="A149" s="2" t="s">
        <v>407</v>
      </c>
      <c r="B149" s="2" t="s">
        <v>308</v>
      </c>
      <c r="C149" s="2" t="s">
        <v>95</v>
      </c>
      <c r="D149" s="2" t="s">
        <v>408</v>
      </c>
      <c r="E149" s="2" t="s">
        <v>325</v>
      </c>
      <c r="F149" s="2" t="s">
        <v>87</v>
      </c>
      <c r="G149" s="11">
        <v>45124</v>
      </c>
      <c r="H149" s="2">
        <v>5</v>
      </c>
      <c r="I149" s="2">
        <v>710.38</v>
      </c>
      <c r="J149" s="2" t="str" cm="1">
        <f t="array" ref="J149">_xlfn.IFS(I149="","review",H149&lt;=0,"review",H149&gt;=100,"review",TRUE,"Ok")</f>
        <v>Ok</v>
      </c>
      <c r="K149" s="2">
        <v>0.25</v>
      </c>
      <c r="L149" s="2">
        <v>496.43</v>
      </c>
      <c r="M149" s="2" t="s">
        <v>76</v>
      </c>
    </row>
    <row r="150" spans="1:13">
      <c r="A150" s="2" t="s">
        <v>139</v>
      </c>
      <c r="B150" s="2" t="s">
        <v>140</v>
      </c>
      <c r="C150" s="3" t="s">
        <v>130</v>
      </c>
      <c r="D150" s="3" t="s">
        <v>141</v>
      </c>
      <c r="E150" s="3" t="s">
        <v>142</v>
      </c>
      <c r="F150" s="3" t="s">
        <v>69</v>
      </c>
      <c r="G150" s="12">
        <v>45121</v>
      </c>
      <c r="H150" s="3">
        <v>7</v>
      </c>
      <c r="I150" s="3">
        <v>1741.58</v>
      </c>
      <c r="J150" s="2" t="str" cm="1">
        <f t="array" ref="J150">_xlfn.IFS(I150="","review",H150&lt;=0,"review",H150&gt;=100,"review",TRUE,"Ok")</f>
        <v>Ok</v>
      </c>
      <c r="K150" s="3">
        <v>0.09</v>
      </c>
      <c r="L150" s="3">
        <v>1064.0999999999999</v>
      </c>
      <c r="M150" s="3" t="s">
        <v>63</v>
      </c>
    </row>
    <row r="151" spans="1:13">
      <c r="A151" s="2" t="s">
        <v>445</v>
      </c>
      <c r="B151" s="2" t="s">
        <v>254</v>
      </c>
      <c r="C151" s="2" t="s">
        <v>130</v>
      </c>
      <c r="D151" s="2" t="s">
        <v>74</v>
      </c>
      <c r="E151" s="2" t="s">
        <v>416</v>
      </c>
      <c r="F151" s="2" t="s">
        <v>123</v>
      </c>
      <c r="G151" s="11">
        <v>45120</v>
      </c>
      <c r="H151" s="2">
        <v>14</v>
      </c>
      <c r="I151" s="2">
        <v>4006.74</v>
      </c>
      <c r="J151" s="2" t="str" cm="1">
        <f t="array" ref="J151">_xlfn.IFS(I151="","review",H151&lt;=0,"review",H151&gt;=100,"review",TRUE,"Ok")</f>
        <v>Ok</v>
      </c>
      <c r="K151" s="2">
        <v>0.1</v>
      </c>
      <c r="L151" s="2">
        <v>2173.7600000000002</v>
      </c>
      <c r="M151" s="2" t="s">
        <v>98</v>
      </c>
    </row>
    <row r="152" spans="1:13">
      <c r="A152" s="2" t="s">
        <v>189</v>
      </c>
      <c r="B152" s="2" t="s">
        <v>158</v>
      </c>
      <c r="C152" s="3" t="s">
        <v>190</v>
      </c>
      <c r="D152" s="3" t="s">
        <v>148</v>
      </c>
      <c r="E152" s="3" t="s">
        <v>191</v>
      </c>
      <c r="F152" s="3" t="s">
        <v>123</v>
      </c>
      <c r="G152" s="12">
        <v>45109</v>
      </c>
      <c r="H152" s="3">
        <v>16</v>
      </c>
      <c r="I152" s="3">
        <v>945.19</v>
      </c>
      <c r="J152" s="2" t="str" cm="1">
        <f t="array" ref="J152">_xlfn.IFS(I152="","review",H152&lt;=0,"review",H152&gt;=100,"review",TRUE,"Ok")</f>
        <v>Ok</v>
      </c>
      <c r="K152" s="3">
        <v>0.16</v>
      </c>
      <c r="L152" s="3">
        <v>431.51</v>
      </c>
      <c r="M152" s="3" t="s">
        <v>70</v>
      </c>
    </row>
    <row r="153" spans="1:13">
      <c r="A153" s="2" t="s">
        <v>1256</v>
      </c>
      <c r="B153" s="2" t="s">
        <v>178</v>
      </c>
      <c r="C153" s="2" t="s">
        <v>120</v>
      </c>
      <c r="D153" s="2" t="s">
        <v>252</v>
      </c>
      <c r="E153" s="2" t="s">
        <v>239</v>
      </c>
      <c r="F153" s="2" t="s">
        <v>135</v>
      </c>
      <c r="G153" s="11">
        <v>45105</v>
      </c>
      <c r="H153" s="2">
        <v>8</v>
      </c>
      <c r="I153" s="2">
        <v>375.45</v>
      </c>
      <c r="J153" s="2" t="str" cm="1">
        <f t="array" ref="J153">_xlfn.IFS(I153="","review",H153&lt;=0,"review",H153&gt;=100,"review",TRUE,"Ok")</f>
        <v>Ok</v>
      </c>
      <c r="K153" s="2">
        <v>0.14000000000000001</v>
      </c>
      <c r="L153" s="2">
        <v>194.83</v>
      </c>
      <c r="M153" s="2" t="s">
        <v>76</v>
      </c>
    </row>
    <row r="154" spans="1:13">
      <c r="A154" s="2" t="s">
        <v>285</v>
      </c>
      <c r="B154" s="2" t="s">
        <v>184</v>
      </c>
      <c r="C154" s="3" t="s">
        <v>167</v>
      </c>
      <c r="D154" s="3" t="s">
        <v>243</v>
      </c>
      <c r="E154" s="3" t="s">
        <v>180</v>
      </c>
      <c r="F154" s="3" t="s">
        <v>123</v>
      </c>
      <c r="G154" s="12">
        <v>45104</v>
      </c>
      <c r="H154" s="3">
        <v>18</v>
      </c>
      <c r="I154" s="3">
        <v>4163.68</v>
      </c>
      <c r="J154" s="2" t="str" cm="1">
        <f t="array" ref="J154">_xlfn.IFS(I154="","review",H154&lt;=0,"review",H154&gt;=100,"review",TRUE,"Ok")</f>
        <v>Ok</v>
      </c>
      <c r="K154" s="3">
        <v>0.1</v>
      </c>
      <c r="L154" s="3">
        <v>2160.5300000000002</v>
      </c>
      <c r="M154" s="3" t="s">
        <v>76</v>
      </c>
    </row>
    <row r="155" spans="1:13">
      <c r="A155" s="2" t="s">
        <v>463</v>
      </c>
      <c r="B155" s="2" t="s">
        <v>321</v>
      </c>
      <c r="C155" s="2" t="s">
        <v>95</v>
      </c>
      <c r="D155" s="2" t="s">
        <v>104</v>
      </c>
      <c r="E155" s="2" t="s">
        <v>208</v>
      </c>
      <c r="F155" s="2" t="s">
        <v>198</v>
      </c>
      <c r="G155" s="11">
        <v>45103</v>
      </c>
      <c r="H155" s="2">
        <v>-3</v>
      </c>
      <c r="I155" s="2">
        <v>1504.14</v>
      </c>
      <c r="J155" s="2" t="str" cm="1">
        <f t="array" ref="J155">_xlfn.IFS(I155="","review",H155&lt;=0,"review",H155&gt;=100,"review",TRUE,"Ok")</f>
        <v>review</v>
      </c>
      <c r="K155" s="2">
        <v>0.14000000000000001</v>
      </c>
      <c r="L155" s="2">
        <v>1001.76</v>
      </c>
      <c r="M155" s="2" t="s">
        <v>98</v>
      </c>
    </row>
    <row r="156" spans="1:13">
      <c r="A156" s="2" t="s">
        <v>469</v>
      </c>
      <c r="B156" s="2" t="s">
        <v>100</v>
      </c>
      <c r="C156" s="2" t="s">
        <v>66</v>
      </c>
      <c r="D156" s="2" t="s">
        <v>350</v>
      </c>
      <c r="E156" s="2" t="s">
        <v>325</v>
      </c>
      <c r="F156" s="2" t="s">
        <v>470</v>
      </c>
      <c r="G156" s="11">
        <v>45098</v>
      </c>
      <c r="H156" s="2">
        <v>10</v>
      </c>
      <c r="I156" s="2">
        <v>2257.2800000000002</v>
      </c>
      <c r="J156" s="2" t="str" cm="1">
        <f t="array" ref="J156">_xlfn.IFS(I156="","review",H156&lt;=0,"review",H156&gt;=100,"review",TRUE,"Ok")</f>
        <v>Ok</v>
      </c>
      <c r="K156" s="2">
        <v>0.01</v>
      </c>
      <c r="L156" s="2">
        <v>1401.63</v>
      </c>
      <c r="M156" s="2" t="s">
        <v>63</v>
      </c>
    </row>
    <row r="157" spans="1:13">
      <c r="A157" s="2" t="s">
        <v>446</v>
      </c>
      <c r="B157" s="2" t="s">
        <v>308</v>
      </c>
      <c r="C157" s="2" t="s">
        <v>120</v>
      </c>
      <c r="D157" s="2" t="s">
        <v>67</v>
      </c>
      <c r="E157" s="2" t="s">
        <v>239</v>
      </c>
      <c r="F157" s="2" t="s">
        <v>135</v>
      </c>
      <c r="G157" s="11">
        <v>45088</v>
      </c>
      <c r="H157" s="2">
        <v>4</v>
      </c>
      <c r="I157" s="2">
        <v>2030.11</v>
      </c>
      <c r="J157" s="2" t="str" cm="1">
        <f t="array" ref="J157">_xlfn.IFS(I157="","review",H157&lt;=0,"review",H157&gt;=100,"review",TRUE,"Ok")</f>
        <v>Ok</v>
      </c>
      <c r="K157" s="2">
        <v>0.33</v>
      </c>
      <c r="L157" s="2">
        <v>1451.21</v>
      </c>
      <c r="M157" s="2" t="s">
        <v>98</v>
      </c>
    </row>
    <row r="158" spans="1:13">
      <c r="A158" s="2" t="s">
        <v>367</v>
      </c>
      <c r="B158" s="2" t="s">
        <v>368</v>
      </c>
      <c r="C158" s="2" t="s">
        <v>73</v>
      </c>
      <c r="D158" s="2" t="s">
        <v>252</v>
      </c>
      <c r="E158" s="2" t="s">
        <v>194</v>
      </c>
      <c r="F158" s="2" t="s">
        <v>87</v>
      </c>
      <c r="G158" s="11">
        <v>45084</v>
      </c>
      <c r="H158" s="2">
        <v>20</v>
      </c>
      <c r="I158" s="2">
        <v>57.74</v>
      </c>
      <c r="J158" s="2" t="str" cm="1">
        <f t="array" ref="J158">_xlfn.IFS(I158="","review",H158&lt;=0,"review",H158&gt;=100,"review",TRUE,"Ok")</f>
        <v>Ok</v>
      </c>
      <c r="K158" s="2">
        <v>0.17</v>
      </c>
      <c r="L158" s="2">
        <v>37.130000000000003</v>
      </c>
      <c r="M158" s="2" t="s">
        <v>98</v>
      </c>
    </row>
    <row r="159" spans="1:13">
      <c r="A159" s="2" t="s">
        <v>365</v>
      </c>
      <c r="B159" s="2" t="s">
        <v>228</v>
      </c>
      <c r="C159" s="2" t="s">
        <v>190</v>
      </c>
      <c r="D159" s="2" t="s">
        <v>60</v>
      </c>
      <c r="E159" s="2" t="s">
        <v>356</v>
      </c>
      <c r="F159" s="2" t="s">
        <v>92</v>
      </c>
      <c r="G159" s="11">
        <v>45082</v>
      </c>
      <c r="H159" s="2">
        <v>14</v>
      </c>
      <c r="I159" s="4">
        <f>AVERAGE(I188:I259)</f>
        <v>2501.5328472222227</v>
      </c>
      <c r="J159" s="2" t="str" cm="1">
        <f t="array" ref="J159">_xlfn.IFS(I159="","review",H159&lt;=0,"review",H159&gt;=100,"review",TRUE,"Ok")</f>
        <v>Ok</v>
      </c>
      <c r="K159" s="2">
        <v>0.17</v>
      </c>
      <c r="L159" s="2">
        <v>1673.79</v>
      </c>
      <c r="M159" s="2" t="s">
        <v>76</v>
      </c>
    </row>
    <row r="160" spans="1:13">
      <c r="A160" s="2" t="s">
        <v>422</v>
      </c>
      <c r="B160" s="2" t="s">
        <v>151</v>
      </c>
      <c r="C160" s="3" t="s">
        <v>84</v>
      </c>
      <c r="D160" s="3" t="s">
        <v>267</v>
      </c>
      <c r="E160" s="3" t="s">
        <v>314</v>
      </c>
      <c r="F160" s="3" t="s">
        <v>135</v>
      </c>
      <c r="G160" s="12">
        <v>45075</v>
      </c>
      <c r="H160" s="3">
        <v>5</v>
      </c>
      <c r="I160" s="3">
        <v>717.52</v>
      </c>
      <c r="J160" s="2" t="str" cm="1">
        <f t="array" ref="J160">_xlfn.IFS(I160="","review",H160&lt;=0,"review",H160&gt;=100,"review",TRUE,"Ok")</f>
        <v>Ok</v>
      </c>
      <c r="K160" s="3">
        <v>0.3</v>
      </c>
      <c r="L160" s="3">
        <v>369.6</v>
      </c>
      <c r="M160" s="3" t="s">
        <v>98</v>
      </c>
    </row>
    <row r="161" spans="1:13">
      <c r="A161" s="2" t="s">
        <v>549</v>
      </c>
      <c r="B161" s="2" t="s">
        <v>1264</v>
      </c>
      <c r="C161" s="3" t="s">
        <v>120</v>
      </c>
      <c r="D161" s="3" t="s">
        <v>121</v>
      </c>
      <c r="E161" s="3" t="s">
        <v>176</v>
      </c>
      <c r="F161" s="3" t="s">
        <v>62</v>
      </c>
      <c r="G161" s="12">
        <v>45075</v>
      </c>
      <c r="H161" s="3">
        <v>16</v>
      </c>
      <c r="I161" s="3">
        <v>1160</v>
      </c>
      <c r="J161" s="2" t="str" cm="1">
        <f t="array" ref="J161">_xlfn.IFS(I161="","review",H161&lt;=0,"review",H161&gt;=100,"review",TRUE,"Ok")</f>
        <v>Ok</v>
      </c>
      <c r="K161" s="3">
        <v>0.25</v>
      </c>
      <c r="L161" s="3">
        <v>687.65</v>
      </c>
      <c r="M161" s="3" t="s">
        <v>76</v>
      </c>
    </row>
    <row r="162" spans="1:13">
      <c r="A162" s="2" t="s">
        <v>384</v>
      </c>
      <c r="B162" s="2" t="s">
        <v>103</v>
      </c>
      <c r="C162" s="2" t="s">
        <v>95</v>
      </c>
      <c r="D162" s="2" t="s">
        <v>355</v>
      </c>
      <c r="E162" s="2" t="s">
        <v>385</v>
      </c>
      <c r="F162" s="2" t="s">
        <v>135</v>
      </c>
      <c r="G162" s="11">
        <v>45074</v>
      </c>
      <c r="H162" s="2">
        <v>10</v>
      </c>
      <c r="I162" s="2">
        <v>2562.73</v>
      </c>
      <c r="J162" s="2" t="str" cm="1">
        <f t="array" ref="J162">_xlfn.IFS(I162="","review",H162&lt;=0,"review",H162&gt;=100,"review",TRUE,"Ok")</f>
        <v>Ok</v>
      </c>
      <c r="K162" s="2">
        <v>0.09</v>
      </c>
      <c r="L162" s="2">
        <v>1812.52</v>
      </c>
      <c r="M162" s="2" t="s">
        <v>63</v>
      </c>
    </row>
    <row r="163" spans="1:13">
      <c r="A163" s="2" t="s">
        <v>340</v>
      </c>
      <c r="B163" s="2" t="s">
        <v>283</v>
      </c>
      <c r="C163" s="3" t="s">
        <v>190</v>
      </c>
      <c r="D163" s="3" t="s">
        <v>341</v>
      </c>
      <c r="E163" s="3" t="s">
        <v>164</v>
      </c>
      <c r="F163" s="3" t="s">
        <v>123</v>
      </c>
      <c r="G163" s="12">
        <v>45062</v>
      </c>
      <c r="H163" s="3">
        <v>10</v>
      </c>
      <c r="I163" s="3">
        <v>2145.11</v>
      </c>
      <c r="J163" s="2" t="str" cm="1">
        <f t="array" ref="J163">_xlfn.IFS(I163="","review",H163&lt;=0,"review",H163&gt;=100,"review",TRUE,"Ok")</f>
        <v>Ok</v>
      </c>
      <c r="K163" s="3">
        <v>0.28000000000000003</v>
      </c>
      <c r="L163" s="3">
        <v>1491.96</v>
      </c>
      <c r="M163" s="3" t="s">
        <v>98</v>
      </c>
    </row>
    <row r="164" spans="1:13">
      <c r="A164" s="2" t="s">
        <v>153</v>
      </c>
      <c r="B164" s="2" t="s">
        <v>154</v>
      </c>
      <c r="C164" s="3" t="s">
        <v>84</v>
      </c>
      <c r="D164" s="3" t="s">
        <v>155</v>
      </c>
      <c r="E164" s="3" t="s">
        <v>156</v>
      </c>
      <c r="F164" s="3" t="s">
        <v>123</v>
      </c>
      <c r="G164" s="12">
        <v>45061</v>
      </c>
      <c r="H164" s="3">
        <v>14</v>
      </c>
      <c r="I164" s="3">
        <v>816.98</v>
      </c>
      <c r="J164" s="2" t="str" cm="1">
        <f t="array" ref="J164">_xlfn.IFS(I164="","review",H164&lt;=0,"review",H164&gt;=100,"review",TRUE,"Ok")</f>
        <v>Ok</v>
      </c>
      <c r="K164" s="3">
        <v>0.01</v>
      </c>
      <c r="L164" s="3">
        <v>534.38</v>
      </c>
      <c r="M164" s="3" t="s">
        <v>81</v>
      </c>
    </row>
    <row r="165" spans="1:13">
      <c r="A165" s="2" t="s">
        <v>535</v>
      </c>
      <c r="B165" s="2" t="s">
        <v>465</v>
      </c>
      <c r="C165" s="2" t="s">
        <v>73</v>
      </c>
      <c r="D165" s="2" t="s">
        <v>112</v>
      </c>
      <c r="E165" s="2" t="s">
        <v>152</v>
      </c>
      <c r="F165" s="2" t="s">
        <v>92</v>
      </c>
      <c r="G165" s="11">
        <v>45060</v>
      </c>
      <c r="H165" s="2">
        <v>20</v>
      </c>
      <c r="I165" s="2">
        <v>4062.04</v>
      </c>
      <c r="J165" s="2" t="str" cm="1">
        <f t="array" ref="J165">_xlfn.IFS(I165="","review",H165&lt;=0,"review",H165&gt;=100,"review",TRUE,"Ok")</f>
        <v>Ok</v>
      </c>
      <c r="K165" s="2">
        <v>0.32</v>
      </c>
      <c r="L165" s="2">
        <v>1924.21</v>
      </c>
      <c r="M165" s="2" t="s">
        <v>63</v>
      </c>
    </row>
    <row r="166" spans="1:13">
      <c r="A166" s="2" t="s">
        <v>358</v>
      </c>
      <c r="B166" s="2" t="s">
        <v>186</v>
      </c>
      <c r="C166" s="3" t="s">
        <v>84</v>
      </c>
      <c r="D166" s="3" t="s">
        <v>138</v>
      </c>
      <c r="E166" s="3" t="s">
        <v>239</v>
      </c>
      <c r="F166" s="3" t="s">
        <v>135</v>
      </c>
      <c r="G166" s="12">
        <v>45055</v>
      </c>
      <c r="H166" s="3">
        <v>20</v>
      </c>
      <c r="I166" s="3">
        <v>4191.6000000000004</v>
      </c>
      <c r="J166" s="2" t="str" cm="1">
        <f t="array" ref="J166">_xlfn.IFS(I166="","review",H166&lt;=0,"review",H166&gt;=100,"review",TRUE,"Ok")</f>
        <v>Ok</v>
      </c>
      <c r="K166" s="3">
        <v>0.22</v>
      </c>
      <c r="L166" s="3">
        <v>2630.23</v>
      </c>
      <c r="M166" s="3" t="s">
        <v>63</v>
      </c>
    </row>
    <row r="167" spans="1:13">
      <c r="A167" s="2" t="s">
        <v>77</v>
      </c>
      <c r="B167" s="2" t="s">
        <v>78</v>
      </c>
      <c r="C167" s="3" t="s">
        <v>73</v>
      </c>
      <c r="D167" s="3" t="s">
        <v>79</v>
      </c>
      <c r="E167" s="3" t="s">
        <v>80</v>
      </c>
      <c r="F167" s="3" t="s">
        <v>62</v>
      </c>
      <c r="G167" s="12">
        <v>45052</v>
      </c>
      <c r="H167" s="3">
        <v>19</v>
      </c>
      <c r="I167" s="3">
        <v>2816.66</v>
      </c>
      <c r="J167" s="2" t="str" cm="1">
        <f t="array" ref="J167">_xlfn.IFS(I167="","review",H167&lt;=0,"review",H167&gt;=100,"review",TRUE,"Ok")</f>
        <v>Ok</v>
      </c>
      <c r="K167" s="3">
        <v>0.03</v>
      </c>
      <c r="L167" s="3">
        <v>1945.18</v>
      </c>
      <c r="M167" s="3" t="s">
        <v>81</v>
      </c>
    </row>
    <row r="168" spans="1:13">
      <c r="A168" s="2" t="s">
        <v>227</v>
      </c>
      <c r="B168" s="2" t="s">
        <v>228</v>
      </c>
      <c r="C168" s="3" t="s">
        <v>120</v>
      </c>
      <c r="D168" s="3" t="s">
        <v>108</v>
      </c>
      <c r="E168" s="3" t="s">
        <v>229</v>
      </c>
      <c r="F168" s="3" t="s">
        <v>198</v>
      </c>
      <c r="G168" s="12">
        <v>45051</v>
      </c>
      <c r="H168" s="3">
        <v>11</v>
      </c>
      <c r="I168" s="3">
        <v>4829.7</v>
      </c>
      <c r="J168" s="2" t="str" cm="1">
        <f t="array" ref="J168">_xlfn.IFS(I168="","review",H168&lt;=0,"review",H168&gt;=100,"review",TRUE,"Ok")</f>
        <v>Ok</v>
      </c>
      <c r="K168" s="3">
        <v>0.05</v>
      </c>
      <c r="L168" s="3">
        <v>2369.59</v>
      </c>
      <c r="M168" s="3" t="s">
        <v>81</v>
      </c>
    </row>
    <row r="169" spans="1:13">
      <c r="A169" s="2" t="s">
        <v>557</v>
      </c>
      <c r="B169" s="2" t="s">
        <v>1264</v>
      </c>
      <c r="C169" s="2" t="s">
        <v>59</v>
      </c>
      <c r="D169" s="2" t="s">
        <v>341</v>
      </c>
      <c r="E169" s="2" t="s">
        <v>172</v>
      </c>
      <c r="F169" s="2" t="s">
        <v>62</v>
      </c>
      <c r="G169" s="11">
        <v>45049</v>
      </c>
      <c r="H169" s="2">
        <v>3</v>
      </c>
      <c r="I169" s="2">
        <v>2363.66</v>
      </c>
      <c r="J169" s="2" t="str" cm="1">
        <f t="array" ref="J169">_xlfn.IFS(I169="","review",H169&lt;=0,"review",H169&gt;=100,"review",TRUE,"Ok")</f>
        <v>Ok</v>
      </c>
      <c r="K169" s="2">
        <v>0.22</v>
      </c>
      <c r="L169" s="2">
        <v>1756.67</v>
      </c>
      <c r="M169" s="2" t="s">
        <v>98</v>
      </c>
    </row>
    <row r="170" spans="1:13">
      <c r="A170" s="2" t="s">
        <v>396</v>
      </c>
      <c r="B170" s="2" t="s">
        <v>397</v>
      </c>
      <c r="C170" s="3" t="s">
        <v>167</v>
      </c>
      <c r="D170" s="3" t="s">
        <v>67</v>
      </c>
      <c r="E170" s="3" t="s">
        <v>398</v>
      </c>
      <c r="F170" s="3" t="s">
        <v>92</v>
      </c>
      <c r="G170" s="12">
        <v>45047</v>
      </c>
      <c r="H170" s="3">
        <v>13</v>
      </c>
      <c r="I170" s="3">
        <v>1817.61</v>
      </c>
      <c r="J170" s="2" t="str" cm="1">
        <f t="array" ref="J170">_xlfn.IFS(I170="","review",H170&lt;=0,"review",H170&gt;=100,"review",TRUE,"Ok")</f>
        <v>Ok</v>
      </c>
      <c r="K170" s="3">
        <v>0.18</v>
      </c>
      <c r="L170" s="3">
        <v>1029.72</v>
      </c>
      <c r="M170" s="3" t="s">
        <v>63</v>
      </c>
    </row>
    <row r="171" spans="1:13">
      <c r="A171" s="2" t="s">
        <v>513</v>
      </c>
      <c r="B171" s="2" t="s">
        <v>514</v>
      </c>
      <c r="C171" s="2" t="s">
        <v>120</v>
      </c>
      <c r="D171" s="2" t="s">
        <v>350</v>
      </c>
      <c r="E171" s="2" t="s">
        <v>208</v>
      </c>
      <c r="F171" s="2" t="s">
        <v>198</v>
      </c>
      <c r="G171" s="11">
        <v>45045</v>
      </c>
      <c r="H171" s="2">
        <v>10</v>
      </c>
      <c r="I171" s="2">
        <v>970.94</v>
      </c>
      <c r="J171" s="2" t="str" cm="1">
        <f t="array" ref="J171">_xlfn.IFS(I171="","review",H171&lt;=0,"review",H171&gt;=100,"review",TRUE,"Ok")</f>
        <v>Ok</v>
      </c>
      <c r="K171" s="2">
        <v>0.3</v>
      </c>
      <c r="L171" s="2">
        <v>441.8</v>
      </c>
      <c r="M171" s="2" t="s">
        <v>98</v>
      </c>
    </row>
    <row r="172" spans="1:13">
      <c r="A172" s="2" t="s">
        <v>303</v>
      </c>
      <c r="B172" s="2" t="s">
        <v>170</v>
      </c>
      <c r="C172" s="2" t="s">
        <v>190</v>
      </c>
      <c r="D172" s="2" t="s">
        <v>159</v>
      </c>
      <c r="E172" s="2" t="s">
        <v>185</v>
      </c>
      <c r="F172" s="2" t="s">
        <v>92</v>
      </c>
      <c r="G172" s="11">
        <v>45042</v>
      </c>
      <c r="H172" s="2">
        <v>11</v>
      </c>
      <c r="I172" s="2">
        <v>1161.47</v>
      </c>
      <c r="J172" s="2" t="str" cm="1">
        <f t="array" ref="J172">_xlfn.IFS(I172="","review",H172&lt;=0,"review",H172&gt;=100,"review",TRUE,"Ok")</f>
        <v>Ok</v>
      </c>
      <c r="K172" s="2">
        <v>0.1</v>
      </c>
      <c r="L172" s="2">
        <v>606.52</v>
      </c>
      <c r="M172" s="2" t="s">
        <v>98</v>
      </c>
    </row>
    <row r="173" spans="1:13">
      <c r="A173" s="2" t="s">
        <v>492</v>
      </c>
      <c r="B173" s="2" t="s">
        <v>236</v>
      </c>
      <c r="C173" s="3" t="s">
        <v>84</v>
      </c>
      <c r="D173" s="3" t="s">
        <v>341</v>
      </c>
      <c r="E173" s="3" t="s">
        <v>156</v>
      </c>
      <c r="F173" s="3" t="s">
        <v>123</v>
      </c>
      <c r="G173" s="12">
        <v>45042</v>
      </c>
      <c r="H173" s="3">
        <v>5</v>
      </c>
      <c r="I173" s="3">
        <v>674.84</v>
      </c>
      <c r="J173" s="2" t="str" cm="1">
        <f t="array" ref="J173">_xlfn.IFS(I173="","review",H173&lt;=0,"review",H173&gt;=100,"review",TRUE,"Ok")</f>
        <v>Ok</v>
      </c>
      <c r="K173" s="3">
        <v>0.24</v>
      </c>
      <c r="L173" s="3">
        <v>469.28</v>
      </c>
      <c r="M173" s="3" t="s">
        <v>98</v>
      </c>
    </row>
    <row r="174" spans="1:13">
      <c r="A174" s="2" t="s">
        <v>233</v>
      </c>
      <c r="B174" s="2" t="s">
        <v>234</v>
      </c>
      <c r="C174" s="3" t="s">
        <v>95</v>
      </c>
      <c r="D174" s="3" t="s">
        <v>159</v>
      </c>
      <c r="E174" s="3" t="s">
        <v>109</v>
      </c>
      <c r="F174" s="3" t="s">
        <v>69</v>
      </c>
      <c r="G174" s="12">
        <v>45040</v>
      </c>
      <c r="H174" s="3">
        <v>14</v>
      </c>
      <c r="I174" s="3">
        <v>4524.67</v>
      </c>
      <c r="J174" s="2" t="str" cm="1">
        <f t="array" ref="J174">_xlfn.IFS(I174="","review",H174&lt;=0,"review",H174&gt;=100,"review",TRUE,"Ok")</f>
        <v>Ok</v>
      </c>
      <c r="K174" s="3">
        <v>0.33</v>
      </c>
      <c r="L174" s="3">
        <v>3026.04</v>
      </c>
      <c r="M174" s="3" t="s">
        <v>98</v>
      </c>
    </row>
    <row r="175" spans="1:13">
      <c r="A175" s="2" t="s">
        <v>474</v>
      </c>
      <c r="B175" s="2" t="s">
        <v>368</v>
      </c>
      <c r="C175" s="2" t="s">
        <v>107</v>
      </c>
      <c r="D175" s="2" t="s">
        <v>187</v>
      </c>
      <c r="E175" s="2" t="s">
        <v>97</v>
      </c>
      <c r="F175" s="2" t="s">
        <v>92</v>
      </c>
      <c r="G175" s="11">
        <v>45040</v>
      </c>
      <c r="H175" s="2">
        <v>6</v>
      </c>
      <c r="I175" s="2">
        <v>2263.29</v>
      </c>
      <c r="J175" s="2" t="str" cm="1">
        <f t="array" ref="J175">_xlfn.IFS(I175="","review",H175&lt;=0,"review",H175&gt;=100,"review",TRUE,"Ok")</f>
        <v>Ok</v>
      </c>
      <c r="K175" s="2">
        <v>0.23</v>
      </c>
      <c r="L175" s="2">
        <v>1247.68</v>
      </c>
      <c r="M175" s="2" t="s">
        <v>70</v>
      </c>
    </row>
    <row r="176" spans="1:13">
      <c r="A176" s="2" t="s">
        <v>541</v>
      </c>
      <c r="B176" s="2" t="s">
        <v>364</v>
      </c>
      <c r="C176" s="2" t="s">
        <v>66</v>
      </c>
      <c r="D176" s="2" t="s">
        <v>327</v>
      </c>
      <c r="E176" s="2" t="s">
        <v>122</v>
      </c>
      <c r="F176" s="2" t="s">
        <v>123</v>
      </c>
      <c r="G176" s="11">
        <v>45039</v>
      </c>
      <c r="H176" s="2">
        <v>18</v>
      </c>
      <c r="I176" s="2">
        <v>1487.29</v>
      </c>
      <c r="J176" s="2" t="str" cm="1">
        <f t="array" ref="J176">_xlfn.IFS(I176="","review",H176&lt;=0,"review",H176&gt;=100,"review",TRUE,"Ok")</f>
        <v>Ok</v>
      </c>
      <c r="K176" s="2">
        <v>0.05</v>
      </c>
      <c r="L176" s="2">
        <v>1038.75</v>
      </c>
      <c r="M176" s="2" t="s">
        <v>81</v>
      </c>
    </row>
    <row r="177" spans="1:13">
      <c r="A177" s="2" t="s">
        <v>362</v>
      </c>
      <c r="B177" s="2" t="s">
        <v>281</v>
      </c>
      <c r="C177" s="2" t="s">
        <v>130</v>
      </c>
      <c r="D177" s="2" t="s">
        <v>232</v>
      </c>
      <c r="E177" s="2" t="s">
        <v>261</v>
      </c>
      <c r="F177" s="2" t="s">
        <v>62</v>
      </c>
      <c r="G177" s="11">
        <v>45037</v>
      </c>
      <c r="H177" s="2">
        <v>-1</v>
      </c>
      <c r="I177" s="2">
        <v>3178.18</v>
      </c>
      <c r="J177" s="2" t="str" cm="1">
        <f t="array" ref="J177">_xlfn.IFS(I177="","review",H177&lt;=0,"review",H177&gt;=100,"review",TRUE,"Ok")</f>
        <v>review</v>
      </c>
      <c r="K177" s="2">
        <v>0.18</v>
      </c>
      <c r="L177" s="2">
        <v>2077.34</v>
      </c>
      <c r="M177" s="2" t="s">
        <v>63</v>
      </c>
    </row>
    <row r="178" spans="1:13">
      <c r="A178" s="2" t="s">
        <v>414</v>
      </c>
      <c r="B178" s="2" t="s">
        <v>415</v>
      </c>
      <c r="C178" s="3" t="s">
        <v>66</v>
      </c>
      <c r="D178" s="3" t="s">
        <v>269</v>
      </c>
      <c r="E178" s="3" t="s">
        <v>416</v>
      </c>
      <c r="F178" s="3" t="s">
        <v>123</v>
      </c>
      <c r="G178" s="12">
        <v>45033</v>
      </c>
      <c r="H178" s="3">
        <v>1</v>
      </c>
      <c r="I178" s="3">
        <v>3439.18</v>
      </c>
      <c r="J178" s="2" t="str" cm="1">
        <f t="array" ref="J178">_xlfn.IFS(I178="","review",H178&lt;=0,"review",H178&gt;=100,"review",TRUE,"Ok")</f>
        <v>Ok</v>
      </c>
      <c r="K178" s="3">
        <v>7.0000000000000007E-2</v>
      </c>
      <c r="L178" s="3">
        <v>1622.73</v>
      </c>
      <c r="M178" s="3" t="s">
        <v>98</v>
      </c>
    </row>
    <row r="179" spans="1:13">
      <c r="A179" s="2" t="s">
        <v>307</v>
      </c>
      <c r="B179" s="2" t="s">
        <v>308</v>
      </c>
      <c r="C179" s="2" t="s">
        <v>107</v>
      </c>
      <c r="D179" s="2" t="s">
        <v>309</v>
      </c>
      <c r="E179" s="2" t="s">
        <v>127</v>
      </c>
      <c r="F179" s="2" t="s">
        <v>69</v>
      </c>
      <c r="G179" s="11">
        <v>45027</v>
      </c>
      <c r="H179" s="2">
        <v>1</v>
      </c>
      <c r="I179" s="2">
        <v>540.46</v>
      </c>
      <c r="J179" s="2" t="str" cm="1">
        <f t="array" ref="J179">_xlfn.IFS(I179="","review",H179&lt;=0,"review",H179&gt;=100,"review",TRUE,"Ok")</f>
        <v>Ok</v>
      </c>
      <c r="K179" s="2">
        <v>0.16</v>
      </c>
      <c r="L179" s="2">
        <v>339.51</v>
      </c>
      <c r="M179" s="2" t="s">
        <v>76</v>
      </c>
    </row>
    <row r="180" spans="1:13">
      <c r="A180" s="2" t="s">
        <v>456</v>
      </c>
      <c r="B180" s="2" t="s">
        <v>78</v>
      </c>
      <c r="C180" s="2" t="s">
        <v>73</v>
      </c>
      <c r="D180" s="2" t="s">
        <v>187</v>
      </c>
      <c r="E180" s="2" t="s">
        <v>109</v>
      </c>
      <c r="F180" s="2" t="s">
        <v>69</v>
      </c>
      <c r="G180" s="11">
        <v>45024</v>
      </c>
      <c r="H180" s="2">
        <v>3</v>
      </c>
      <c r="I180" s="2">
        <v>1370.27</v>
      </c>
      <c r="J180" s="2" t="str" cm="1">
        <f t="array" ref="J180">_xlfn.IFS(I180="","review",H180&lt;=0,"review",H180&gt;=100,"review",TRUE,"Ok")</f>
        <v>Ok</v>
      </c>
      <c r="K180" s="2">
        <v>0.33</v>
      </c>
      <c r="L180" s="2">
        <v>635.41</v>
      </c>
      <c r="M180" s="2" t="s">
        <v>81</v>
      </c>
    </row>
    <row r="181" spans="1:13">
      <c r="A181" s="2" t="s">
        <v>105</v>
      </c>
      <c r="B181" s="2" t="s">
        <v>106</v>
      </c>
      <c r="C181" s="3" t="s">
        <v>107</v>
      </c>
      <c r="D181" s="3" t="s">
        <v>108</v>
      </c>
      <c r="E181" s="3" t="s">
        <v>109</v>
      </c>
      <c r="F181" s="3" t="s">
        <v>69</v>
      </c>
      <c r="G181" s="12">
        <v>45022</v>
      </c>
      <c r="H181" s="3">
        <v>10</v>
      </c>
      <c r="I181" s="3">
        <v>4985.96</v>
      </c>
      <c r="J181" s="2" t="str" cm="1">
        <f t="array" ref="J181">_xlfn.IFS(I181="","review",H181&lt;=0,"review",H181&gt;=100,"review",TRUE,"Ok")</f>
        <v>Ok</v>
      </c>
      <c r="K181" s="3">
        <v>0.32</v>
      </c>
      <c r="L181" s="3">
        <v>3029.73</v>
      </c>
      <c r="M181" s="3" t="s">
        <v>76</v>
      </c>
    </row>
    <row r="182" spans="1:13">
      <c r="A182" s="2" t="s">
        <v>479</v>
      </c>
      <c r="B182" s="2" t="s">
        <v>228</v>
      </c>
      <c r="C182" s="2" t="s">
        <v>190</v>
      </c>
      <c r="D182" s="2" t="s">
        <v>252</v>
      </c>
      <c r="E182" s="2" t="s">
        <v>172</v>
      </c>
      <c r="F182" s="2" t="s">
        <v>62</v>
      </c>
      <c r="G182" s="11">
        <v>45015</v>
      </c>
      <c r="H182" s="2">
        <v>17</v>
      </c>
      <c r="I182" s="2">
        <v>2202.96</v>
      </c>
      <c r="J182" s="2" t="str" cm="1">
        <f t="array" ref="J182">_xlfn.IFS(I182="","review",H182&lt;=0,"review",H182&gt;=100,"review",TRUE,"Ok")</f>
        <v>Ok</v>
      </c>
      <c r="K182" s="2">
        <v>0.09</v>
      </c>
      <c r="L182" s="2">
        <v>1480.12</v>
      </c>
      <c r="M182" s="2" t="s">
        <v>70</v>
      </c>
    </row>
    <row r="183" spans="1:13">
      <c r="A183" s="2" t="s">
        <v>577</v>
      </c>
      <c r="B183" s="2" t="s">
        <v>556</v>
      </c>
      <c r="C183" s="2" t="s">
        <v>107</v>
      </c>
      <c r="D183" s="2" t="s">
        <v>138</v>
      </c>
      <c r="E183" s="2" t="s">
        <v>261</v>
      </c>
      <c r="F183" s="2" t="s">
        <v>62</v>
      </c>
      <c r="G183" s="11">
        <v>45015</v>
      </c>
      <c r="H183" s="2">
        <v>2</v>
      </c>
      <c r="I183" s="2">
        <v>2778.95</v>
      </c>
      <c r="J183" s="2" t="str" cm="1">
        <f t="array" ref="J183">_xlfn.IFS(I183="","review",H183&lt;=0,"review",H183&gt;=100,"review",TRUE,"Ok")</f>
        <v>Ok</v>
      </c>
      <c r="K183" s="2">
        <v>0.08</v>
      </c>
      <c r="L183" s="2">
        <v>1370.74</v>
      </c>
      <c r="M183" s="2" t="s">
        <v>63</v>
      </c>
    </row>
    <row r="184" spans="1:13">
      <c r="A184" s="2" t="s">
        <v>419</v>
      </c>
      <c r="B184" s="2" t="s">
        <v>154</v>
      </c>
      <c r="C184" s="3" t="s">
        <v>95</v>
      </c>
      <c r="D184" s="3" t="s">
        <v>213</v>
      </c>
      <c r="E184" s="3" t="s">
        <v>113</v>
      </c>
      <c r="F184" s="3" t="s">
        <v>62</v>
      </c>
      <c r="G184" s="12">
        <v>45010</v>
      </c>
      <c r="H184" s="3">
        <v>14</v>
      </c>
      <c r="I184" s="3">
        <v>2418.73</v>
      </c>
      <c r="J184" s="2" t="str" cm="1">
        <f t="array" ref="J184">_xlfn.IFS(I184="","review",H184&lt;=0,"review",H184&gt;=100,"review",TRUE,"Ok")</f>
        <v>Ok</v>
      </c>
      <c r="K184" s="3">
        <v>0.21</v>
      </c>
      <c r="L184" s="3">
        <v>1514.79</v>
      </c>
      <c r="M184" s="3" t="s">
        <v>98</v>
      </c>
    </row>
    <row r="185" spans="1:13">
      <c r="A185" s="2" t="s">
        <v>510</v>
      </c>
      <c r="B185" s="2" t="s">
        <v>115</v>
      </c>
      <c r="C185" s="3" t="s">
        <v>84</v>
      </c>
      <c r="D185" s="3" t="s">
        <v>145</v>
      </c>
      <c r="E185" s="3" t="s">
        <v>68</v>
      </c>
      <c r="F185" s="3" t="s">
        <v>69</v>
      </c>
      <c r="G185" s="12">
        <v>45006</v>
      </c>
      <c r="H185" s="3">
        <v>3</v>
      </c>
      <c r="I185" s="3">
        <v>1429.51</v>
      </c>
      <c r="J185" s="2" t="str" cm="1">
        <f t="array" ref="J185">_xlfn.IFS(I185="","review",H185&lt;=0,"review",H185&gt;=100,"review",TRUE,"Ok")</f>
        <v>Ok</v>
      </c>
      <c r="K185" s="3">
        <v>0.23</v>
      </c>
      <c r="L185" s="3">
        <v>650.03</v>
      </c>
      <c r="M185" s="3" t="s">
        <v>63</v>
      </c>
    </row>
    <row r="186" spans="1:13">
      <c r="A186" s="2" t="s">
        <v>540</v>
      </c>
      <c r="B186" s="2" t="s">
        <v>275</v>
      </c>
      <c r="C186" s="3" t="s">
        <v>107</v>
      </c>
      <c r="D186" s="3" t="s">
        <v>112</v>
      </c>
      <c r="E186" s="3" t="s">
        <v>86</v>
      </c>
      <c r="F186" s="3" t="s">
        <v>87</v>
      </c>
      <c r="G186" s="12">
        <v>45004</v>
      </c>
      <c r="H186" s="3">
        <v>19</v>
      </c>
      <c r="I186" s="3">
        <v>2772.49</v>
      </c>
      <c r="J186" s="2" t="str" cm="1">
        <f t="array" ref="J186">_xlfn.IFS(I186="","review",H186&lt;=0,"review",H186&gt;=100,"review",TRUE,"Ok")</f>
        <v>Ok</v>
      </c>
      <c r="K186" s="3">
        <v>0.31</v>
      </c>
      <c r="L186" s="3">
        <v>1497.12</v>
      </c>
      <c r="M186" s="3" t="s">
        <v>70</v>
      </c>
    </row>
    <row r="187" spans="1:13">
      <c r="A187" s="2" t="s">
        <v>529</v>
      </c>
      <c r="B187" s="2" t="s">
        <v>530</v>
      </c>
      <c r="C187" s="2" t="s">
        <v>95</v>
      </c>
      <c r="D187" s="2" t="s">
        <v>306</v>
      </c>
      <c r="E187" s="2" t="s">
        <v>208</v>
      </c>
      <c r="F187" s="2" t="s">
        <v>198</v>
      </c>
      <c r="G187" s="11">
        <v>44996</v>
      </c>
      <c r="H187" s="2">
        <v>12</v>
      </c>
      <c r="I187" s="2">
        <v>416.56</v>
      </c>
      <c r="J187" s="2" t="str" cm="1">
        <f t="array" ref="J187">_xlfn.IFS(I187="","review",H187&lt;=0,"review",H187&gt;=100,"review",TRUE,"Ok")</f>
        <v>Ok</v>
      </c>
      <c r="K187" s="2">
        <v>0.1</v>
      </c>
      <c r="L187" s="2">
        <v>264.89999999999998</v>
      </c>
      <c r="M187" s="2" t="s">
        <v>81</v>
      </c>
    </row>
    <row r="188" spans="1:13">
      <c r="A188" s="2" t="s">
        <v>539</v>
      </c>
      <c r="B188" s="2" t="s">
        <v>222</v>
      </c>
      <c r="C188" s="2" t="s">
        <v>73</v>
      </c>
      <c r="D188" s="2" t="s">
        <v>213</v>
      </c>
      <c r="E188" s="2" t="s">
        <v>356</v>
      </c>
      <c r="F188" s="2" t="s">
        <v>92</v>
      </c>
      <c r="G188" s="11">
        <v>44986</v>
      </c>
      <c r="H188" s="2">
        <v>15</v>
      </c>
      <c r="I188" s="2">
        <v>3562.23</v>
      </c>
      <c r="J188" s="2" t="str" cm="1">
        <f t="array" ref="J188">_xlfn.IFS(I188="","review",H188&lt;=0,"review",H188&gt;=100,"review",TRUE,"Ok")</f>
        <v>Ok</v>
      </c>
      <c r="K188" s="2">
        <v>0.18</v>
      </c>
      <c r="L188" s="2">
        <v>2348.12</v>
      </c>
      <c r="M188" s="2" t="s">
        <v>81</v>
      </c>
    </row>
    <row r="189" spans="1:13">
      <c r="A189" s="2" t="s">
        <v>537</v>
      </c>
      <c r="B189" s="2" t="s">
        <v>245</v>
      </c>
      <c r="C189" s="2" t="s">
        <v>107</v>
      </c>
      <c r="D189" s="2" t="s">
        <v>131</v>
      </c>
      <c r="E189" s="2" t="s">
        <v>385</v>
      </c>
      <c r="F189" s="2" t="s">
        <v>135</v>
      </c>
      <c r="G189" s="11">
        <v>44982</v>
      </c>
      <c r="H189" s="2">
        <v>17</v>
      </c>
      <c r="I189" s="2">
        <v>4933.54</v>
      </c>
      <c r="J189" s="2" t="str" cm="1">
        <f t="array" ref="J189">_xlfn.IFS(I189="","review",H189&lt;=0,"review",H189&gt;=100,"review",TRUE,"Ok")</f>
        <v>Ok</v>
      </c>
      <c r="K189" s="2">
        <v>0.16</v>
      </c>
      <c r="L189" s="2">
        <v>2899.44</v>
      </c>
      <c r="M189" s="2" t="s">
        <v>76</v>
      </c>
    </row>
    <row r="190" spans="1:13">
      <c r="A190" s="2" t="s">
        <v>439</v>
      </c>
      <c r="B190" s="2" t="s">
        <v>440</v>
      </c>
      <c r="C190" s="3" t="s">
        <v>167</v>
      </c>
      <c r="D190" s="3" t="s">
        <v>309</v>
      </c>
      <c r="E190" s="3" t="s">
        <v>117</v>
      </c>
      <c r="F190" s="3" t="s">
        <v>62</v>
      </c>
      <c r="G190" s="12">
        <v>44973</v>
      </c>
      <c r="H190" s="3">
        <v>11</v>
      </c>
      <c r="I190" s="3">
        <v>1466.25</v>
      </c>
      <c r="J190" s="2" t="str" cm="1">
        <f t="array" ref="J190">_xlfn.IFS(I190="","review",H190&lt;=0,"review",H190&gt;=100,"review",TRUE,"Ok")</f>
        <v>Ok</v>
      </c>
      <c r="K190" s="3">
        <v>0.24</v>
      </c>
      <c r="L190" s="3">
        <v>765.09</v>
      </c>
      <c r="M190" s="3" t="s">
        <v>76</v>
      </c>
    </row>
    <row r="191" spans="1:13">
      <c r="A191" s="2" t="s">
        <v>390</v>
      </c>
      <c r="B191" s="2" t="s">
        <v>391</v>
      </c>
      <c r="C191" s="3" t="s">
        <v>66</v>
      </c>
      <c r="D191" s="3" t="s">
        <v>193</v>
      </c>
      <c r="E191" s="3" t="s">
        <v>152</v>
      </c>
      <c r="F191" s="3" t="s">
        <v>92</v>
      </c>
      <c r="G191" s="12">
        <v>44969</v>
      </c>
      <c r="H191" s="3">
        <v>17</v>
      </c>
      <c r="I191" s="3">
        <v>265.5</v>
      </c>
      <c r="J191" s="2" t="str" cm="1">
        <f t="array" ref="J191">_xlfn.IFS(I191="","review",H191&lt;=0,"review",H191&gt;=100,"review",TRUE,"Ok")</f>
        <v>Ok</v>
      </c>
      <c r="K191" s="3">
        <v>0.2</v>
      </c>
      <c r="L191" s="3">
        <v>124.06</v>
      </c>
      <c r="M191" s="3" t="s">
        <v>63</v>
      </c>
    </row>
    <row r="192" spans="1:13">
      <c r="A192" s="2" t="s">
        <v>165</v>
      </c>
      <c r="B192" s="2" t="s">
        <v>166</v>
      </c>
      <c r="C192" s="3" t="s">
        <v>167</v>
      </c>
      <c r="D192" s="3" t="s">
        <v>90</v>
      </c>
      <c r="E192" s="3" t="s">
        <v>91</v>
      </c>
      <c r="F192" s="3" t="s">
        <v>92</v>
      </c>
      <c r="G192" s="12">
        <v>44952</v>
      </c>
      <c r="H192" s="3">
        <v>14</v>
      </c>
      <c r="I192" s="3">
        <v>2721.87</v>
      </c>
      <c r="J192" s="2" t="str" cm="1">
        <f t="array" ref="J192">_xlfn.IFS(I192="","review",H192&lt;=0,"review",H192&gt;=100,"review",TRUE,"Ok")</f>
        <v>Ok</v>
      </c>
      <c r="K192" s="3">
        <v>0.11</v>
      </c>
      <c r="L192" s="3">
        <v>1588.61</v>
      </c>
      <c r="M192" s="3" t="s">
        <v>70</v>
      </c>
    </row>
    <row r="193" spans="1:13">
      <c r="A193" s="2" t="s">
        <v>420</v>
      </c>
      <c r="B193" s="2" t="s">
        <v>421</v>
      </c>
      <c r="C193" s="2" t="s">
        <v>190</v>
      </c>
      <c r="D193" s="2" t="s">
        <v>196</v>
      </c>
      <c r="E193" s="2" t="s">
        <v>164</v>
      </c>
      <c r="F193" s="2" t="s">
        <v>123</v>
      </c>
      <c r="G193" s="11">
        <v>44951</v>
      </c>
      <c r="H193" s="2">
        <v>6</v>
      </c>
      <c r="I193" s="2">
        <v>952.28</v>
      </c>
      <c r="J193" s="2" t="str" cm="1">
        <f t="array" ref="J193">_xlfn.IFS(I193="","review",H193&lt;=0,"review",H193&gt;=100,"review",TRUE,"Ok")</f>
        <v>Ok</v>
      </c>
      <c r="K193" s="2">
        <v>0.17</v>
      </c>
      <c r="L193" s="2">
        <v>620.35</v>
      </c>
      <c r="M193" s="2" t="s">
        <v>81</v>
      </c>
    </row>
    <row r="194" spans="1:13">
      <c r="A194" s="2" t="s">
        <v>524</v>
      </c>
      <c r="B194" s="2" t="s">
        <v>278</v>
      </c>
      <c r="C194" s="2" t="s">
        <v>107</v>
      </c>
      <c r="D194" s="2" t="s">
        <v>101</v>
      </c>
      <c r="E194" s="2" t="s">
        <v>172</v>
      </c>
      <c r="F194" s="2" t="s">
        <v>62</v>
      </c>
      <c r="G194" s="11">
        <v>44950</v>
      </c>
      <c r="H194" s="2">
        <v>15</v>
      </c>
      <c r="I194" s="2">
        <v>3485.2</v>
      </c>
      <c r="J194" s="2" t="str" cm="1">
        <f t="array" ref="J194">_xlfn.IFS(I194="","review",H194&lt;=0,"review",H194&gt;=100,"review",TRUE,"Ok")</f>
        <v>Ok</v>
      </c>
      <c r="K194" s="2">
        <v>0.28000000000000003</v>
      </c>
      <c r="L194" s="2">
        <v>1755.77</v>
      </c>
      <c r="M194" s="2" t="s">
        <v>70</v>
      </c>
    </row>
    <row r="195" spans="1:13">
      <c r="A195" s="2" t="s">
        <v>226</v>
      </c>
      <c r="B195" s="2" t="s">
        <v>212</v>
      </c>
      <c r="C195" s="2" t="s">
        <v>190</v>
      </c>
      <c r="D195" s="2" t="s">
        <v>213</v>
      </c>
      <c r="E195" s="2" t="s">
        <v>97</v>
      </c>
      <c r="F195" s="2" t="s">
        <v>92</v>
      </c>
      <c r="G195" s="11">
        <v>44948</v>
      </c>
      <c r="H195" s="2">
        <v>18</v>
      </c>
      <c r="I195" s="2">
        <v>1233.8800000000001</v>
      </c>
      <c r="J195" s="2" t="str" cm="1">
        <f t="array" ref="J195">_xlfn.IFS(I195="","review",H195&lt;=0,"review",H195&gt;=100,"review",TRUE,"Ok")</f>
        <v>Ok</v>
      </c>
      <c r="K195" s="2">
        <v>0.16</v>
      </c>
      <c r="L195" s="2">
        <v>621.87</v>
      </c>
      <c r="M195" s="2" t="s">
        <v>81</v>
      </c>
    </row>
    <row r="196" spans="1:13">
      <c r="A196" s="2" t="s">
        <v>347</v>
      </c>
      <c r="B196" s="2" t="s">
        <v>103</v>
      </c>
      <c r="C196" s="2" t="s">
        <v>95</v>
      </c>
      <c r="D196" s="2" t="s">
        <v>243</v>
      </c>
      <c r="E196" s="2" t="s">
        <v>180</v>
      </c>
      <c r="F196" s="2" t="s">
        <v>123</v>
      </c>
      <c r="G196" s="11">
        <v>44930</v>
      </c>
      <c r="H196" s="2">
        <v>20</v>
      </c>
      <c r="I196" s="2">
        <v>653.15</v>
      </c>
      <c r="J196" s="2" t="str" cm="1">
        <f t="array" ref="J196">_xlfn.IFS(I196="","review",H196&lt;=0,"review",H196&gt;=100,"review",TRUE,"Ok")</f>
        <v>Ok</v>
      </c>
      <c r="K196" s="2">
        <v>0.31</v>
      </c>
      <c r="L196" s="2">
        <v>487.06</v>
      </c>
      <c r="M196" s="2" t="s">
        <v>81</v>
      </c>
    </row>
    <row r="197" spans="1:13">
      <c r="A197" s="2" t="s">
        <v>438</v>
      </c>
      <c r="B197" s="2" t="s">
        <v>174</v>
      </c>
      <c r="C197" s="2" t="s">
        <v>84</v>
      </c>
      <c r="D197" s="2" t="s">
        <v>318</v>
      </c>
      <c r="E197" s="2" t="s">
        <v>356</v>
      </c>
      <c r="F197" s="2" t="s">
        <v>264</v>
      </c>
      <c r="G197" s="11">
        <v>44921</v>
      </c>
      <c r="H197" s="2">
        <v>3</v>
      </c>
      <c r="I197" s="2">
        <v>3252.16</v>
      </c>
      <c r="J197" s="2" t="str" cm="1">
        <f t="array" ref="J197">_xlfn.IFS(I197="","review",H197&lt;=0,"review",H197&gt;=100,"review",TRUE,"Ok")</f>
        <v>Ok</v>
      </c>
      <c r="K197" s="2">
        <v>0.3</v>
      </c>
      <c r="L197" s="2">
        <v>1850.45</v>
      </c>
      <c r="M197" s="2" t="s">
        <v>63</v>
      </c>
    </row>
    <row r="198" spans="1:13">
      <c r="A198" s="2" t="s">
        <v>351</v>
      </c>
      <c r="B198" s="2" t="s">
        <v>352</v>
      </c>
      <c r="C198" s="2" t="s">
        <v>84</v>
      </c>
      <c r="D198" s="2" t="s">
        <v>179</v>
      </c>
      <c r="E198" s="2" t="s">
        <v>149</v>
      </c>
      <c r="F198" s="2" t="s">
        <v>92</v>
      </c>
      <c r="G198" s="11">
        <v>44920</v>
      </c>
      <c r="H198" s="2">
        <v>2</v>
      </c>
      <c r="I198" s="2">
        <v>3212.81</v>
      </c>
      <c r="J198" s="2" t="str" cm="1">
        <f t="array" ref="J198">_xlfn.IFS(I198="","review",H198&lt;=0,"review",H198&gt;=100,"review",TRUE,"Ok")</f>
        <v>Ok</v>
      </c>
      <c r="K198" s="2">
        <v>0.33</v>
      </c>
      <c r="L198" s="2">
        <v>1844.37</v>
      </c>
      <c r="M198" s="2" t="s">
        <v>76</v>
      </c>
    </row>
    <row r="199" spans="1:13">
      <c r="A199" s="2" t="s">
        <v>550</v>
      </c>
      <c r="B199" s="2" t="s">
        <v>178</v>
      </c>
      <c r="C199" s="2" t="s">
        <v>190</v>
      </c>
      <c r="D199" s="2" t="s">
        <v>171</v>
      </c>
      <c r="E199" s="2" t="s">
        <v>176</v>
      </c>
      <c r="F199" s="2" t="s">
        <v>62</v>
      </c>
      <c r="G199" s="11">
        <v>44919</v>
      </c>
      <c r="H199" s="2">
        <v>17</v>
      </c>
      <c r="I199" s="2">
        <v>4926.41</v>
      </c>
      <c r="J199" s="2" t="str" cm="1">
        <f t="array" ref="J199">_xlfn.IFS(I199="","review",H199&lt;=0,"review",H199&gt;=100,"review",TRUE,"Ok")</f>
        <v>Ok</v>
      </c>
      <c r="K199" s="2">
        <v>0</v>
      </c>
      <c r="L199" s="2">
        <v>3157.95</v>
      </c>
      <c r="M199" s="2" t="s">
        <v>98</v>
      </c>
    </row>
    <row r="200" spans="1:13">
      <c r="A200" s="2" t="s">
        <v>560</v>
      </c>
      <c r="B200" s="2" t="s">
        <v>553</v>
      </c>
      <c r="C200" s="3" t="s">
        <v>59</v>
      </c>
      <c r="D200" s="3" t="s">
        <v>341</v>
      </c>
      <c r="E200" s="3" t="s">
        <v>180</v>
      </c>
      <c r="F200" s="3" t="s">
        <v>123</v>
      </c>
      <c r="G200" s="12">
        <v>44918</v>
      </c>
      <c r="H200" s="3">
        <v>2</v>
      </c>
      <c r="I200" s="3">
        <v>4427.0200000000004</v>
      </c>
      <c r="J200" s="2" t="str" cm="1">
        <f t="array" ref="J200">_xlfn.IFS(I200="","review",H200&lt;=0,"review",H200&gt;=100,"review",TRUE,"Ok")</f>
        <v>Ok</v>
      </c>
      <c r="K200" s="3">
        <v>0.11</v>
      </c>
      <c r="L200" s="3">
        <v>3212.89</v>
      </c>
      <c r="M200" s="3" t="s">
        <v>76</v>
      </c>
    </row>
    <row r="201" spans="1:13">
      <c r="A201" s="2" t="s">
        <v>348</v>
      </c>
      <c r="B201" s="2" t="s">
        <v>349</v>
      </c>
      <c r="C201" s="3" t="s">
        <v>130</v>
      </c>
      <c r="D201" s="3" t="s">
        <v>350</v>
      </c>
      <c r="E201" s="3" t="s">
        <v>80</v>
      </c>
      <c r="F201" s="3" t="s">
        <v>62</v>
      </c>
      <c r="G201" s="12">
        <v>44910</v>
      </c>
      <c r="H201" s="3">
        <v>3</v>
      </c>
      <c r="I201" s="3">
        <v>1230.28</v>
      </c>
      <c r="J201" s="2" t="str" cm="1">
        <f t="array" ref="J201">_xlfn.IFS(I201="","review",H201&lt;=0,"review",H201&gt;=100,"review",TRUE,"Ok")</f>
        <v>Ok</v>
      </c>
      <c r="K201" s="3">
        <v>0.05</v>
      </c>
      <c r="L201" s="3">
        <v>746.01</v>
      </c>
      <c r="M201" s="3" t="s">
        <v>63</v>
      </c>
    </row>
    <row r="202" spans="1:13">
      <c r="A202" s="2" t="s">
        <v>319</v>
      </c>
      <c r="B202" s="2" t="s">
        <v>137</v>
      </c>
      <c r="C202" s="2" t="s">
        <v>95</v>
      </c>
      <c r="D202" s="2" t="s">
        <v>207</v>
      </c>
      <c r="E202" s="2" t="s">
        <v>220</v>
      </c>
      <c r="F202" s="2" t="s">
        <v>87</v>
      </c>
      <c r="G202" s="11">
        <v>44902</v>
      </c>
      <c r="H202" s="2">
        <v>5</v>
      </c>
      <c r="I202" s="2">
        <v>2388.65</v>
      </c>
      <c r="J202" s="2" t="str" cm="1">
        <f t="array" ref="J202">_xlfn.IFS(I202="","review",H202&lt;=0,"review",H202&gt;=100,"review",TRUE,"Ok")</f>
        <v>Ok</v>
      </c>
      <c r="K202" s="2">
        <v>0.03</v>
      </c>
      <c r="L202" s="2">
        <v>1389.45</v>
      </c>
      <c r="M202" s="2" t="s">
        <v>63</v>
      </c>
    </row>
    <row r="203" spans="1:13">
      <c r="A203" s="2" t="s">
        <v>1257</v>
      </c>
      <c r="B203" s="2" t="s">
        <v>231</v>
      </c>
      <c r="C203" s="3" t="s">
        <v>167</v>
      </c>
      <c r="D203" s="3" t="s">
        <v>67</v>
      </c>
      <c r="E203" s="3" t="s">
        <v>109</v>
      </c>
      <c r="F203" s="3" t="s">
        <v>69</v>
      </c>
      <c r="G203" s="12">
        <v>44898</v>
      </c>
      <c r="H203" s="3">
        <v>10</v>
      </c>
      <c r="I203" s="3">
        <v>2212.91</v>
      </c>
      <c r="J203" s="2" t="str" cm="1">
        <f t="array" ref="J203">_xlfn.IFS(I203="","review",H203&lt;=0,"review",H203&gt;=100,"review",TRUE,"Ok")</f>
        <v>Ok</v>
      </c>
      <c r="K203" s="3">
        <v>0.1</v>
      </c>
      <c r="L203" s="3">
        <v>1234.57</v>
      </c>
      <c r="M203" s="3" t="s">
        <v>76</v>
      </c>
    </row>
    <row r="204" spans="1:13">
      <c r="A204" s="2" t="s">
        <v>82</v>
      </c>
      <c r="B204" s="2" t="s">
        <v>83</v>
      </c>
      <c r="C204" s="2" t="s">
        <v>84</v>
      </c>
      <c r="D204" s="2" t="s">
        <v>85</v>
      </c>
      <c r="E204" s="2" t="s">
        <v>86</v>
      </c>
      <c r="F204" s="2" t="s">
        <v>87</v>
      </c>
      <c r="G204" s="11">
        <v>44886</v>
      </c>
      <c r="H204" s="2">
        <v>18</v>
      </c>
      <c r="I204" s="2">
        <v>3235.29</v>
      </c>
      <c r="J204" s="2" t="str" cm="1">
        <f t="array" ref="J204">_xlfn.IFS(I204="","review",H204&lt;=0,"review",H204&gt;=100,"review",TRUE,"Ok")</f>
        <v>Ok</v>
      </c>
      <c r="K204" s="2">
        <v>0.22</v>
      </c>
      <c r="L204" s="2">
        <v>2257.1999999999998</v>
      </c>
      <c r="M204" s="2" t="s">
        <v>81</v>
      </c>
    </row>
    <row r="205" spans="1:13">
      <c r="A205" s="2" t="s">
        <v>372</v>
      </c>
      <c r="B205" s="2" t="s">
        <v>373</v>
      </c>
      <c r="C205" s="2" t="s">
        <v>84</v>
      </c>
      <c r="D205" s="2" t="s">
        <v>187</v>
      </c>
      <c r="E205" s="2" t="s">
        <v>109</v>
      </c>
      <c r="F205" s="2" t="s">
        <v>69</v>
      </c>
      <c r="G205" s="11">
        <v>44885</v>
      </c>
      <c r="H205" s="2">
        <v>7</v>
      </c>
      <c r="I205" s="2">
        <v>3357.66</v>
      </c>
      <c r="J205" s="2" t="str" cm="1">
        <f t="array" ref="J205">_xlfn.IFS(I205="","review",H205&lt;=0,"review",H205&gt;=100,"review",TRUE,"Ok")</f>
        <v>Ok</v>
      </c>
      <c r="K205" s="2">
        <v>0.15</v>
      </c>
      <c r="L205" s="2">
        <v>1922.19</v>
      </c>
      <c r="M205" s="2" t="s">
        <v>98</v>
      </c>
    </row>
    <row r="206" spans="1:13">
      <c r="A206" s="2" t="s">
        <v>280</v>
      </c>
      <c r="B206" s="2" t="s">
        <v>281</v>
      </c>
      <c r="C206" s="2" t="s">
        <v>95</v>
      </c>
      <c r="D206" s="2" t="s">
        <v>126</v>
      </c>
      <c r="E206" s="2" t="s">
        <v>122</v>
      </c>
      <c r="F206" s="2" t="s">
        <v>123</v>
      </c>
      <c r="G206" s="11">
        <v>44878</v>
      </c>
      <c r="H206" s="2">
        <v>19</v>
      </c>
      <c r="I206" s="2">
        <v>843.55</v>
      </c>
      <c r="J206" s="2" t="str" cm="1">
        <f t="array" ref="J206">_xlfn.IFS(I206="","review",H206&lt;=0,"review",H206&gt;=100,"review",TRUE,"Ok")</f>
        <v>Ok</v>
      </c>
      <c r="K206" s="2">
        <v>0.21</v>
      </c>
      <c r="L206" s="2">
        <v>561.58000000000004</v>
      </c>
      <c r="M206" s="2" t="s">
        <v>98</v>
      </c>
    </row>
    <row r="207" spans="1:13">
      <c r="A207" s="2" t="s">
        <v>500</v>
      </c>
      <c r="B207" s="2" t="s">
        <v>440</v>
      </c>
      <c r="C207" s="3" t="s">
        <v>84</v>
      </c>
      <c r="D207" s="3" t="s">
        <v>243</v>
      </c>
      <c r="E207" s="3" t="s">
        <v>156</v>
      </c>
      <c r="F207" s="3" t="s">
        <v>123</v>
      </c>
      <c r="G207" s="12">
        <v>44878</v>
      </c>
      <c r="H207" s="3">
        <v>19</v>
      </c>
      <c r="I207" s="3">
        <v>809.52</v>
      </c>
      <c r="J207" s="2" t="str" cm="1">
        <f t="array" ref="J207">_xlfn.IFS(I207="","review",H207&lt;=0,"review",H207&gt;=100,"review",TRUE,"Ok")</f>
        <v>Ok</v>
      </c>
      <c r="K207" s="3">
        <v>0.31</v>
      </c>
      <c r="L207" s="3">
        <v>400.96</v>
      </c>
      <c r="M207" s="3" t="s">
        <v>70</v>
      </c>
    </row>
    <row r="208" spans="1:13">
      <c r="A208" s="2" t="s">
        <v>124</v>
      </c>
      <c r="B208" s="2" t="s">
        <v>125</v>
      </c>
      <c r="C208" s="3" t="s">
        <v>120</v>
      </c>
      <c r="D208" s="3" t="s">
        <v>126</v>
      </c>
      <c r="E208" s="3" t="s">
        <v>127</v>
      </c>
      <c r="F208" s="3" t="s">
        <v>69</v>
      </c>
      <c r="G208" s="12">
        <v>44877</v>
      </c>
      <c r="H208" s="3">
        <v>14</v>
      </c>
      <c r="I208" s="3">
        <v>2567.02</v>
      </c>
      <c r="J208" s="2" t="str" cm="1">
        <f t="array" ref="J208">_xlfn.IFS(I208="","review",H208&lt;=0,"review",H208&gt;=100,"review",TRUE,"Ok")</f>
        <v>Ok</v>
      </c>
      <c r="K208" s="3">
        <v>0.3</v>
      </c>
      <c r="L208" s="3">
        <v>1241.57</v>
      </c>
      <c r="M208" s="3" t="s">
        <v>76</v>
      </c>
    </row>
    <row r="209" spans="1:13">
      <c r="A209" s="2" t="s">
        <v>249</v>
      </c>
      <c r="B209" s="2" t="s">
        <v>250</v>
      </c>
      <c r="C209" s="2" t="s">
        <v>190</v>
      </c>
      <c r="D209" s="2" t="s">
        <v>213</v>
      </c>
      <c r="E209" s="2" t="s">
        <v>180</v>
      </c>
      <c r="F209" s="2" t="s">
        <v>123</v>
      </c>
      <c r="G209" s="11">
        <v>44873</v>
      </c>
      <c r="H209" s="2">
        <v>12</v>
      </c>
      <c r="I209" s="2">
        <v>2539.39</v>
      </c>
      <c r="J209" s="2" t="str" cm="1">
        <f t="array" ref="J209">_xlfn.IFS(I209="","review",H209&lt;=0,"review",H209&gt;=100,"review",TRUE,"Ok")</f>
        <v>Ok</v>
      </c>
      <c r="K209" s="2">
        <v>0.25</v>
      </c>
      <c r="L209" s="2">
        <v>1203.8599999999999</v>
      </c>
      <c r="M209" s="2" t="s">
        <v>81</v>
      </c>
    </row>
    <row r="210" spans="1:13">
      <c r="A210" s="2" t="s">
        <v>204</v>
      </c>
      <c r="B210" s="2" t="s">
        <v>205</v>
      </c>
      <c r="C210" s="2" t="s">
        <v>66</v>
      </c>
      <c r="D210" s="2" t="s">
        <v>155</v>
      </c>
      <c r="E210" s="2" t="s">
        <v>201</v>
      </c>
      <c r="F210" s="2" t="s">
        <v>198</v>
      </c>
      <c r="G210" s="11">
        <v>44866</v>
      </c>
      <c r="H210" s="2">
        <v>14</v>
      </c>
      <c r="I210" s="2">
        <v>266.27999999999997</v>
      </c>
      <c r="J210" s="2" t="str" cm="1">
        <f t="array" ref="J210">_xlfn.IFS(I210="","review",H210&lt;=0,"review",H210&gt;=100,"review",TRUE,"Ok")</f>
        <v>Ok</v>
      </c>
      <c r="K210" s="2">
        <v>0.35</v>
      </c>
      <c r="L210" s="2">
        <v>153.66999999999999</v>
      </c>
      <c r="M210" s="2" t="s">
        <v>76</v>
      </c>
    </row>
    <row r="211" spans="1:13">
      <c r="A211" s="2" t="s">
        <v>596</v>
      </c>
      <c r="B211" s="2" t="s">
        <v>254</v>
      </c>
      <c r="C211" s="2" t="s">
        <v>95</v>
      </c>
      <c r="D211" s="2" t="s">
        <v>260</v>
      </c>
      <c r="E211" s="2" t="s">
        <v>398</v>
      </c>
      <c r="F211" s="2" t="s">
        <v>92</v>
      </c>
      <c r="G211" s="11">
        <v>44865</v>
      </c>
      <c r="H211" s="2">
        <v>10</v>
      </c>
      <c r="I211" s="2">
        <v>1021.69</v>
      </c>
      <c r="J211" s="2" t="str" cm="1">
        <f t="array" ref="J211">_xlfn.IFS(I211="","review",H211&lt;=0,"review",H211&gt;=100,"review",TRUE,"Ok")</f>
        <v>Ok</v>
      </c>
      <c r="K211" s="2">
        <v>0.35</v>
      </c>
      <c r="L211" s="2">
        <v>565.77</v>
      </c>
      <c r="M211" s="2" t="s">
        <v>63</v>
      </c>
    </row>
    <row r="212" spans="1:13">
      <c r="A212" s="2" t="s">
        <v>543</v>
      </c>
      <c r="B212" s="2" t="s">
        <v>58</v>
      </c>
      <c r="C212" s="2" t="s">
        <v>167</v>
      </c>
      <c r="D212" s="2" t="s">
        <v>148</v>
      </c>
      <c r="E212" s="2" t="s">
        <v>156</v>
      </c>
      <c r="F212" s="2" t="s">
        <v>123</v>
      </c>
      <c r="G212" s="11">
        <v>44864</v>
      </c>
      <c r="H212" s="2">
        <v>15</v>
      </c>
      <c r="I212" s="2">
        <v>829.65</v>
      </c>
      <c r="J212" s="2" t="str" cm="1">
        <f t="array" ref="J212">_xlfn.IFS(I212="","review",H212&lt;=0,"review",H212&gt;=100,"review",TRUE,"Ok")</f>
        <v>Ok</v>
      </c>
      <c r="K212" s="2">
        <v>0.1</v>
      </c>
      <c r="L212" s="2">
        <v>620.16999999999996</v>
      </c>
      <c r="M212" s="2" t="s">
        <v>76</v>
      </c>
    </row>
    <row r="213" spans="1:13">
      <c r="A213" s="2" t="s">
        <v>339</v>
      </c>
      <c r="B213" s="2" t="s">
        <v>293</v>
      </c>
      <c r="C213" s="2" t="s">
        <v>59</v>
      </c>
      <c r="D213" s="2" t="s">
        <v>327</v>
      </c>
      <c r="E213" s="2" t="s">
        <v>257</v>
      </c>
      <c r="F213" s="2" t="s">
        <v>69</v>
      </c>
      <c r="G213" s="11">
        <v>44860</v>
      </c>
      <c r="H213" s="2">
        <v>12</v>
      </c>
      <c r="I213" s="2">
        <v>3063.96</v>
      </c>
      <c r="J213" s="2" t="str" cm="1">
        <f t="array" ref="J213">_xlfn.IFS(I213="","review",H213&lt;=0,"review",H213&gt;=100,"review",TRUE,"Ok")</f>
        <v>Ok</v>
      </c>
      <c r="K213" s="2">
        <v>0.25</v>
      </c>
      <c r="L213" s="2">
        <v>2088.89</v>
      </c>
      <c r="M213" s="2" t="s">
        <v>76</v>
      </c>
    </row>
    <row r="214" spans="1:13">
      <c r="A214" s="2" t="s">
        <v>160</v>
      </c>
      <c r="B214" s="2" t="s">
        <v>161</v>
      </c>
      <c r="C214" s="3" t="s">
        <v>107</v>
      </c>
      <c r="D214" s="3" t="s">
        <v>148</v>
      </c>
      <c r="E214" s="3" t="s">
        <v>109</v>
      </c>
      <c r="F214" s="3" t="s">
        <v>69</v>
      </c>
      <c r="G214" s="12">
        <v>44858</v>
      </c>
      <c r="H214" s="3">
        <v>15</v>
      </c>
      <c r="I214" s="4">
        <f>AVERAGE(I205,I253)</f>
        <v>2039.76</v>
      </c>
      <c r="J214" s="2" t="str" cm="1">
        <f t="array" ref="J214">_xlfn.IFS(I214="","review",H214&lt;=0,"review",H214&gt;=100,"review",TRUE,"Ok")</f>
        <v>Ok</v>
      </c>
      <c r="K214" s="3">
        <v>0.19</v>
      </c>
      <c r="L214" s="3">
        <v>2357.4699999999998</v>
      </c>
      <c r="M214" s="3" t="s">
        <v>63</v>
      </c>
    </row>
    <row r="215" spans="1:13">
      <c r="A215" s="2" t="s">
        <v>546</v>
      </c>
      <c r="B215" s="2" t="s">
        <v>231</v>
      </c>
      <c r="C215" s="3" t="s">
        <v>66</v>
      </c>
      <c r="D215" s="3" t="s">
        <v>126</v>
      </c>
      <c r="E215" s="3" t="s">
        <v>180</v>
      </c>
      <c r="F215" s="3" t="s">
        <v>123</v>
      </c>
      <c r="G215" s="12">
        <v>44858</v>
      </c>
      <c r="H215" s="3">
        <v>11</v>
      </c>
      <c r="I215" s="3">
        <v>911.75</v>
      </c>
      <c r="J215" s="2" t="str" cm="1">
        <f t="array" ref="J215">_xlfn.IFS(I215="","review",H215&lt;=0,"review",H215&gt;=100,"review",TRUE,"Ok")</f>
        <v>Ok</v>
      </c>
      <c r="K215" s="3">
        <v>0.26</v>
      </c>
      <c r="L215" s="3">
        <v>521.14</v>
      </c>
      <c r="M215" s="3" t="s">
        <v>98</v>
      </c>
    </row>
    <row r="216" spans="1:13">
      <c r="A216" s="2" t="s">
        <v>277</v>
      </c>
      <c r="B216" s="2" t="s">
        <v>278</v>
      </c>
      <c r="C216" s="2" t="s">
        <v>95</v>
      </c>
      <c r="D216" s="2" t="s">
        <v>101</v>
      </c>
      <c r="E216" s="2" t="s">
        <v>197</v>
      </c>
      <c r="F216" s="2" t="s">
        <v>198</v>
      </c>
      <c r="G216" s="11">
        <v>44857</v>
      </c>
      <c r="H216" s="2">
        <v>4</v>
      </c>
      <c r="I216" s="2">
        <v>667.15</v>
      </c>
      <c r="J216" s="2" t="str" cm="1">
        <f t="array" ref="J216">_xlfn.IFS(I216="","review",H216&lt;=0,"review",H216&gt;=100,"review",TRUE,"Ok")</f>
        <v>Ok</v>
      </c>
      <c r="K216" s="2">
        <v>0.02</v>
      </c>
      <c r="L216" s="2">
        <v>496.06</v>
      </c>
      <c r="M216" s="2" t="s">
        <v>81</v>
      </c>
    </row>
    <row r="217" spans="1:13">
      <c r="A217" s="2" t="s">
        <v>360</v>
      </c>
      <c r="B217" s="2" t="s">
        <v>361</v>
      </c>
      <c r="C217" s="3" t="s">
        <v>66</v>
      </c>
      <c r="D217" s="3" t="s">
        <v>318</v>
      </c>
      <c r="E217" s="3" t="s">
        <v>80</v>
      </c>
      <c r="F217" s="3" t="s">
        <v>62</v>
      </c>
      <c r="G217" s="12">
        <v>44855</v>
      </c>
      <c r="H217" s="3">
        <v>3</v>
      </c>
      <c r="I217" s="3">
        <v>2703.47</v>
      </c>
      <c r="J217" s="2" t="str" cm="1">
        <f t="array" ref="J217">_xlfn.IFS(I217="","review",H217&lt;=0,"review",H217&gt;=100,"review",TRUE,"Ok")</f>
        <v>Ok</v>
      </c>
      <c r="K217" s="3">
        <v>0.21</v>
      </c>
      <c r="L217" s="3">
        <v>1358.6</v>
      </c>
      <c r="M217" s="3" t="s">
        <v>76</v>
      </c>
    </row>
    <row r="218" spans="1:13">
      <c r="A218" s="2" t="s">
        <v>455</v>
      </c>
      <c r="B218" s="2" t="s">
        <v>234</v>
      </c>
      <c r="C218" s="3" t="s">
        <v>73</v>
      </c>
      <c r="D218" s="3" t="s">
        <v>60</v>
      </c>
      <c r="E218" s="3" t="s">
        <v>208</v>
      </c>
      <c r="F218" s="3" t="s">
        <v>198</v>
      </c>
      <c r="G218" s="12">
        <v>44850</v>
      </c>
      <c r="H218" s="3">
        <v>12</v>
      </c>
      <c r="I218" s="3">
        <v>3996.59</v>
      </c>
      <c r="J218" s="2" t="str" cm="1">
        <f t="array" ref="J218">_xlfn.IFS(I218="","review",H218&lt;=0,"review",H218&gt;=100,"review",TRUE,"Ok")</f>
        <v>Ok</v>
      </c>
      <c r="K218" s="3">
        <v>0.2</v>
      </c>
      <c r="L218" s="3">
        <v>2173.65</v>
      </c>
      <c r="M218" s="3" t="s">
        <v>81</v>
      </c>
    </row>
    <row r="219" spans="1:13">
      <c r="A219" s="2" t="s">
        <v>485</v>
      </c>
      <c r="B219" s="2" t="s">
        <v>248</v>
      </c>
      <c r="C219" s="2" t="s">
        <v>190</v>
      </c>
      <c r="D219" s="2" t="s">
        <v>294</v>
      </c>
      <c r="E219" s="2" t="s">
        <v>142</v>
      </c>
      <c r="F219" s="2" t="s">
        <v>69</v>
      </c>
      <c r="G219" s="11">
        <v>44848</v>
      </c>
      <c r="H219" s="2">
        <v>8</v>
      </c>
      <c r="I219" s="2">
        <v>2589.7800000000002</v>
      </c>
      <c r="J219" s="2" t="str" cm="1">
        <f t="array" ref="J219">_xlfn.IFS(I219="","review",H219&lt;=0,"review",H219&gt;=100,"review",TRUE,"Ok")</f>
        <v>Ok</v>
      </c>
      <c r="K219" s="2">
        <v>0.02</v>
      </c>
      <c r="L219" s="2">
        <v>1308.3900000000001</v>
      </c>
      <c r="M219" s="2" t="s">
        <v>63</v>
      </c>
    </row>
    <row r="220" spans="1:13">
      <c r="A220" s="2" t="s">
        <v>423</v>
      </c>
      <c r="B220" s="2" t="s">
        <v>89</v>
      </c>
      <c r="C220" s="2" t="s">
        <v>84</v>
      </c>
      <c r="D220" s="2" t="s">
        <v>145</v>
      </c>
      <c r="E220" s="2" t="s">
        <v>191</v>
      </c>
      <c r="F220" s="2" t="s">
        <v>123</v>
      </c>
      <c r="G220" s="11">
        <v>44842</v>
      </c>
      <c r="H220" s="2">
        <v>13</v>
      </c>
      <c r="I220" s="2">
        <v>3594.42</v>
      </c>
      <c r="J220" s="2" t="str" cm="1">
        <f t="array" ref="J220">_xlfn.IFS(I220="","review",H220&lt;=0,"review",H220&gt;=100,"review",TRUE,"Ok")</f>
        <v>Ok</v>
      </c>
      <c r="K220" s="2">
        <v>0.25</v>
      </c>
      <c r="L220" s="2">
        <v>1842.74</v>
      </c>
      <c r="M220" s="2" t="s">
        <v>81</v>
      </c>
    </row>
    <row r="221" spans="1:13">
      <c r="A221" s="2" t="s">
        <v>169</v>
      </c>
      <c r="B221" s="2" t="s">
        <v>170</v>
      </c>
      <c r="C221" s="3" t="s">
        <v>59</v>
      </c>
      <c r="D221" s="3" t="s">
        <v>171</v>
      </c>
      <c r="E221" s="3" t="s">
        <v>172</v>
      </c>
      <c r="F221" s="3" t="s">
        <v>62</v>
      </c>
      <c r="G221" s="12">
        <v>44841</v>
      </c>
      <c r="H221" s="3">
        <v>11</v>
      </c>
      <c r="I221" s="3">
        <v>2656.33</v>
      </c>
      <c r="J221" s="2" t="str" cm="1">
        <f t="array" ref="J221">_xlfn.IFS(I221="","review",H221&lt;=0,"review",H221&gt;=100,"review",TRUE,"Ok")</f>
        <v>Ok</v>
      </c>
      <c r="K221" s="3">
        <v>0.28000000000000003</v>
      </c>
      <c r="L221" s="3">
        <v>1300.49</v>
      </c>
      <c r="M221" s="3" t="s">
        <v>63</v>
      </c>
    </row>
    <row r="222" spans="1:13">
      <c r="A222" s="2" t="s">
        <v>493</v>
      </c>
      <c r="B222" s="2" t="s">
        <v>494</v>
      </c>
      <c r="C222" s="2" t="s">
        <v>167</v>
      </c>
      <c r="D222" s="2" t="s">
        <v>175</v>
      </c>
      <c r="E222" s="2" t="s">
        <v>398</v>
      </c>
      <c r="F222" s="2" t="s">
        <v>92</v>
      </c>
      <c r="G222" s="11">
        <v>44839</v>
      </c>
      <c r="H222" s="2">
        <v>3</v>
      </c>
      <c r="I222" s="2">
        <v>1218.18</v>
      </c>
      <c r="J222" s="2" t="str" cm="1">
        <f t="array" ref="J222">_xlfn.IFS(I222="","review",H222&lt;=0,"review",H222&gt;=100,"review",TRUE,"Ok")</f>
        <v>Ok</v>
      </c>
      <c r="K222" s="2">
        <v>0.05</v>
      </c>
      <c r="L222" s="2">
        <v>565.91</v>
      </c>
      <c r="M222" s="2" t="s">
        <v>76</v>
      </c>
    </row>
    <row r="223" spans="1:13">
      <c r="A223" s="2" t="s">
        <v>441</v>
      </c>
      <c r="B223" s="2" t="s">
        <v>144</v>
      </c>
      <c r="C223" s="2" t="s">
        <v>120</v>
      </c>
      <c r="D223" s="2" t="s">
        <v>121</v>
      </c>
      <c r="E223" s="2" t="s">
        <v>398</v>
      </c>
      <c r="F223" s="2" t="s">
        <v>92</v>
      </c>
      <c r="G223" s="11">
        <v>44832</v>
      </c>
      <c r="H223" s="2">
        <v>19</v>
      </c>
      <c r="I223" s="2">
        <v>4317.59</v>
      </c>
      <c r="J223" s="2" t="str" cm="1">
        <f t="array" ref="J223">_xlfn.IFS(I223="","review",H223&lt;=0,"review",H223&gt;=100,"review",TRUE,"Ok")</f>
        <v>Ok</v>
      </c>
      <c r="K223" s="2">
        <v>0.28000000000000003</v>
      </c>
      <c r="L223" s="2">
        <v>2359.5</v>
      </c>
      <c r="M223" s="2" t="s">
        <v>63</v>
      </c>
    </row>
    <row r="224" spans="1:13">
      <c r="A224" s="2" t="s">
        <v>432</v>
      </c>
      <c r="B224" s="2" t="s">
        <v>1264</v>
      </c>
      <c r="C224" s="3" t="s">
        <v>66</v>
      </c>
      <c r="D224" s="3" t="s">
        <v>148</v>
      </c>
      <c r="E224" s="3" t="s">
        <v>127</v>
      </c>
      <c r="F224" s="3" t="s">
        <v>69</v>
      </c>
      <c r="G224" s="12">
        <v>44831</v>
      </c>
      <c r="H224" s="3">
        <v>13</v>
      </c>
      <c r="I224" s="3">
        <v>1584.88</v>
      </c>
      <c r="J224" s="2" t="str" cm="1">
        <f t="array" ref="J224">_xlfn.IFS(I224="","review",H224&lt;=0,"review",H224&gt;=100,"review",TRUE,"Ok")</f>
        <v>Ok</v>
      </c>
      <c r="K224" s="3">
        <v>0.33</v>
      </c>
      <c r="L224" s="3">
        <v>1068.31</v>
      </c>
      <c r="M224" s="3" t="s">
        <v>76</v>
      </c>
    </row>
    <row r="225" spans="1:13">
      <c r="A225" s="2" t="s">
        <v>1258</v>
      </c>
      <c r="B225" s="2" t="s">
        <v>283</v>
      </c>
      <c r="C225" s="3" t="s">
        <v>59</v>
      </c>
      <c r="D225" s="3" t="s">
        <v>306</v>
      </c>
      <c r="E225" s="3" t="s">
        <v>220</v>
      </c>
      <c r="F225" s="3" t="s">
        <v>87</v>
      </c>
      <c r="G225" s="12">
        <v>44831</v>
      </c>
      <c r="H225" s="3">
        <v>15</v>
      </c>
      <c r="I225" s="3">
        <v>2495.41</v>
      </c>
      <c r="J225" s="2" t="str" cm="1">
        <f t="array" ref="J225">_xlfn.IFS(I225="","review",H225&lt;=0,"review",H225&gt;=100,"review",TRUE,"Ok")</f>
        <v>Ok</v>
      </c>
      <c r="K225" s="3">
        <v>0.24</v>
      </c>
      <c r="L225" s="3">
        <v>1755.77</v>
      </c>
      <c r="M225" s="3" t="s">
        <v>81</v>
      </c>
    </row>
    <row r="226" spans="1:13">
      <c r="A226" s="2" t="s">
        <v>547</v>
      </c>
      <c r="B226" s="2" t="s">
        <v>548</v>
      </c>
      <c r="C226" s="2" t="s">
        <v>73</v>
      </c>
      <c r="D226" s="2" t="s">
        <v>408</v>
      </c>
      <c r="E226" s="2" t="s">
        <v>201</v>
      </c>
      <c r="F226" s="2" t="s">
        <v>198</v>
      </c>
      <c r="G226" s="11">
        <v>44828</v>
      </c>
      <c r="H226" s="2">
        <v>20</v>
      </c>
      <c r="I226" s="2">
        <v>1839.39</v>
      </c>
      <c r="J226" s="2" t="str" cm="1">
        <f t="array" ref="J226">_xlfn.IFS(I226="","review",H226&lt;=0,"review",H226&gt;=100,"review",TRUE,"Ok")</f>
        <v>Ok</v>
      </c>
      <c r="K226" s="2">
        <v>0.23</v>
      </c>
      <c r="L226" s="2">
        <v>1035.8499999999999</v>
      </c>
      <c r="M226" s="2" t="s">
        <v>70</v>
      </c>
    </row>
    <row r="227" spans="1:13">
      <c r="A227" s="2" t="s">
        <v>562</v>
      </c>
      <c r="B227" s="2" t="s">
        <v>317</v>
      </c>
      <c r="C227" s="2" t="s">
        <v>95</v>
      </c>
      <c r="D227" s="2" t="s">
        <v>327</v>
      </c>
      <c r="E227" s="2" t="s">
        <v>152</v>
      </c>
      <c r="F227" s="2" t="s">
        <v>92</v>
      </c>
      <c r="G227" s="11">
        <v>44821</v>
      </c>
      <c r="H227" s="2">
        <v>15</v>
      </c>
      <c r="I227" s="2">
        <v>3598.82</v>
      </c>
      <c r="J227" s="2" t="str" cm="1">
        <f t="array" ref="J227">_xlfn.IFS(I227="","review",H227&lt;=0,"review",H227&gt;=100,"review",TRUE,"Ok")</f>
        <v>Ok</v>
      </c>
      <c r="K227" s="2">
        <v>0.34</v>
      </c>
      <c r="L227" s="2">
        <v>2366.89</v>
      </c>
      <c r="M227" s="2" t="s">
        <v>81</v>
      </c>
    </row>
    <row r="228" spans="1:13">
      <c r="A228" s="2" t="s">
        <v>255</v>
      </c>
      <c r="B228" s="2" t="s">
        <v>256</v>
      </c>
      <c r="C228" s="3" t="s">
        <v>120</v>
      </c>
      <c r="D228" s="3" t="s">
        <v>96</v>
      </c>
      <c r="E228" s="3" t="s">
        <v>257</v>
      </c>
      <c r="F228" s="3" t="s">
        <v>69</v>
      </c>
      <c r="G228" s="12">
        <v>44820</v>
      </c>
      <c r="H228" s="3">
        <v>17</v>
      </c>
      <c r="I228" s="3">
        <v>1038.5</v>
      </c>
      <c r="J228" s="2" t="str" cm="1">
        <f t="array" ref="J228">_xlfn.IFS(I228="","review",H228&lt;=0,"review",H228&gt;=100,"review",TRUE,"Ok")</f>
        <v>Ok</v>
      </c>
      <c r="K228" s="3">
        <v>0.35</v>
      </c>
      <c r="L228" s="3">
        <v>508.76</v>
      </c>
      <c r="M228" s="3" t="s">
        <v>98</v>
      </c>
    </row>
    <row r="229" spans="1:13">
      <c r="A229" s="2" t="s">
        <v>536</v>
      </c>
      <c r="B229" s="2" t="s">
        <v>518</v>
      </c>
      <c r="C229" s="3" t="s">
        <v>73</v>
      </c>
      <c r="D229" s="3" t="s">
        <v>96</v>
      </c>
      <c r="E229" s="3" t="s">
        <v>113</v>
      </c>
      <c r="F229" s="3" t="s">
        <v>62</v>
      </c>
      <c r="G229" s="12">
        <v>44819</v>
      </c>
      <c r="H229" s="3">
        <v>20</v>
      </c>
      <c r="I229" s="3">
        <v>4839.43</v>
      </c>
      <c r="J229" s="2" t="str" cm="1">
        <f t="array" ref="J229">_xlfn.IFS(I229="","review",H229&lt;=0,"review",H229&gt;=100,"review",TRUE,"Ok")</f>
        <v>Ok</v>
      </c>
      <c r="K229" s="3">
        <v>0.12</v>
      </c>
      <c r="L229" s="3">
        <v>3570.48</v>
      </c>
      <c r="M229" s="3" t="s">
        <v>63</v>
      </c>
    </row>
    <row r="230" spans="1:13">
      <c r="A230" s="2" t="s">
        <v>464</v>
      </c>
      <c r="B230" s="2" t="s">
        <v>465</v>
      </c>
      <c r="C230" s="3" t="s">
        <v>84</v>
      </c>
      <c r="D230" s="3" t="s">
        <v>327</v>
      </c>
      <c r="E230" s="3" t="s">
        <v>194</v>
      </c>
      <c r="F230" s="3" t="s">
        <v>87</v>
      </c>
      <c r="G230" s="12">
        <v>44815</v>
      </c>
      <c r="H230" s="3">
        <v>17</v>
      </c>
      <c r="I230" s="3">
        <v>557.86</v>
      </c>
      <c r="J230" s="2" t="str" cm="1">
        <f t="array" ref="J230">_xlfn.IFS(I230="","review",H230&lt;=0,"review",H230&gt;=100,"review",TRUE,"Ok")</f>
        <v>Ok</v>
      </c>
      <c r="K230" s="3">
        <v>0.12</v>
      </c>
      <c r="L230" s="3">
        <v>300.44</v>
      </c>
      <c r="M230" s="3" t="s">
        <v>98</v>
      </c>
    </row>
    <row r="231" spans="1:13">
      <c r="A231" s="2" t="s">
        <v>525</v>
      </c>
      <c r="B231" s="2" t="s">
        <v>526</v>
      </c>
      <c r="C231" s="3" t="s">
        <v>120</v>
      </c>
      <c r="D231" s="3" t="s">
        <v>96</v>
      </c>
      <c r="E231" s="3" t="s">
        <v>216</v>
      </c>
      <c r="F231" s="3" t="s">
        <v>135</v>
      </c>
      <c r="G231" s="12">
        <v>44812</v>
      </c>
      <c r="H231" s="3">
        <v>15</v>
      </c>
      <c r="I231" s="3">
        <v>4993.21</v>
      </c>
      <c r="J231" s="2" t="str" cm="1">
        <f t="array" ref="J231">_xlfn.IFS(I231="","review",H231&lt;=0,"review",H231&gt;=100,"review",TRUE,"Ok")</f>
        <v>Ok</v>
      </c>
      <c r="K231" s="3">
        <v>7.0000000000000007E-2</v>
      </c>
      <c r="L231" s="3">
        <v>3622.15</v>
      </c>
      <c r="M231" s="3" t="s">
        <v>81</v>
      </c>
    </row>
    <row r="232" spans="1:13">
      <c r="A232" s="2" t="s">
        <v>64</v>
      </c>
      <c r="B232" s="2" t="s">
        <v>65</v>
      </c>
      <c r="C232" s="3" t="s">
        <v>66</v>
      </c>
      <c r="D232" s="3" t="s">
        <v>67</v>
      </c>
      <c r="E232" s="3" t="s">
        <v>68</v>
      </c>
      <c r="F232" s="3" t="s">
        <v>69</v>
      </c>
      <c r="G232" s="12">
        <v>44810</v>
      </c>
      <c r="H232" s="3">
        <v>9</v>
      </c>
      <c r="I232" s="4">
        <v>2761.7650000000003</v>
      </c>
      <c r="J232" s="2" t="str" cm="1">
        <f t="array" ref="J232">_xlfn.IFS(I232="","review",H232&lt;=0,"review",H232&gt;=100,"review",TRUE,"Ok")</f>
        <v>Ok</v>
      </c>
      <c r="K232" s="3">
        <v>0.22</v>
      </c>
      <c r="L232" s="3">
        <v>2575.9499999999998</v>
      </c>
      <c r="M232" s="3" t="s">
        <v>70</v>
      </c>
    </row>
    <row r="233" spans="1:13">
      <c r="A233" s="2" t="s">
        <v>118</v>
      </c>
      <c r="B233" s="2" t="s">
        <v>119</v>
      </c>
      <c r="C233" s="2" t="s">
        <v>120</v>
      </c>
      <c r="D233" s="2" t="s">
        <v>121</v>
      </c>
      <c r="E233" s="2" t="s">
        <v>122</v>
      </c>
      <c r="F233" s="2" t="s">
        <v>123</v>
      </c>
      <c r="G233" s="11">
        <v>44802</v>
      </c>
      <c r="H233" s="2">
        <v>20</v>
      </c>
      <c r="I233" s="2">
        <v>3368.76</v>
      </c>
      <c r="J233" s="2" t="str" cm="1">
        <f t="array" ref="J233">_xlfn.IFS(I233="","review",H233&lt;=0,"review",H233&gt;=100,"review",TRUE,"Ok")</f>
        <v>Ok</v>
      </c>
      <c r="K233" s="2">
        <v>0.01</v>
      </c>
      <c r="L233" s="2">
        <v>2442.94</v>
      </c>
      <c r="M233" s="2" t="s">
        <v>63</v>
      </c>
    </row>
    <row r="234" spans="1:13">
      <c r="A234" s="2" t="s">
        <v>484</v>
      </c>
      <c r="B234" s="2" t="s">
        <v>115</v>
      </c>
      <c r="C234" s="3" t="s">
        <v>95</v>
      </c>
      <c r="D234" s="3" t="s">
        <v>408</v>
      </c>
      <c r="E234" s="3" t="s">
        <v>122</v>
      </c>
      <c r="F234" s="3" t="s">
        <v>123</v>
      </c>
      <c r="G234" s="12">
        <v>44800</v>
      </c>
      <c r="H234" s="3">
        <v>5</v>
      </c>
      <c r="I234" s="3">
        <v>2060.7399999999998</v>
      </c>
      <c r="J234" s="2" t="str" cm="1">
        <f t="array" ref="J234">_xlfn.IFS(I234="","review",H234&lt;=0,"review",H234&gt;=100,"review",TRUE,"Ok")</f>
        <v>Ok</v>
      </c>
      <c r="K234" s="3">
        <v>0.08</v>
      </c>
      <c r="L234" s="3">
        <v>1265.22</v>
      </c>
      <c r="M234" s="3" t="s">
        <v>98</v>
      </c>
    </row>
    <row r="235" spans="1:13">
      <c r="A235" s="2" t="s">
        <v>490</v>
      </c>
      <c r="B235" s="2" t="s">
        <v>170</v>
      </c>
      <c r="C235" s="3" t="s">
        <v>130</v>
      </c>
      <c r="D235" s="3" t="s">
        <v>260</v>
      </c>
      <c r="E235" s="3" t="s">
        <v>176</v>
      </c>
      <c r="F235" s="3" t="s">
        <v>62</v>
      </c>
      <c r="G235" s="12">
        <v>44799</v>
      </c>
      <c r="H235" s="3">
        <v>6</v>
      </c>
      <c r="I235" s="3">
        <v>3406.54</v>
      </c>
      <c r="J235" s="2" t="str" cm="1">
        <f t="array" ref="J235">_xlfn.IFS(I235="","review",H235&lt;=0,"review",H235&gt;=100,"review",TRUE,"Ok")</f>
        <v>Ok</v>
      </c>
      <c r="K235" s="3">
        <v>0.12</v>
      </c>
      <c r="L235" s="3">
        <v>2390.44</v>
      </c>
      <c r="M235" s="3" t="s">
        <v>70</v>
      </c>
    </row>
    <row r="236" spans="1:13">
      <c r="A236" s="2" t="s">
        <v>452</v>
      </c>
      <c r="B236" s="2" t="s">
        <v>115</v>
      </c>
      <c r="C236" s="2" t="s">
        <v>73</v>
      </c>
      <c r="D236" s="2" t="s">
        <v>344</v>
      </c>
      <c r="E236" s="2" t="s">
        <v>156</v>
      </c>
      <c r="F236" s="2" t="s">
        <v>123</v>
      </c>
      <c r="G236" s="11">
        <v>44797</v>
      </c>
      <c r="H236" s="2">
        <v>6</v>
      </c>
      <c r="I236" s="2">
        <v>974.75</v>
      </c>
      <c r="J236" s="2" t="str" cm="1">
        <f t="array" ref="J236">_xlfn.IFS(I236="","review",H236&lt;=0,"review",H236&gt;=100,"review",TRUE,"Ok")</f>
        <v>Ok</v>
      </c>
      <c r="K236" s="2">
        <v>0.24</v>
      </c>
      <c r="L236" s="2">
        <v>661.36</v>
      </c>
      <c r="M236" s="2" t="s">
        <v>76</v>
      </c>
    </row>
    <row r="237" spans="1:13">
      <c r="A237" s="2" t="s">
        <v>110</v>
      </c>
      <c r="B237" s="2" t="s">
        <v>111</v>
      </c>
      <c r="C237" s="2" t="s">
        <v>95</v>
      </c>
      <c r="D237" s="2" t="s">
        <v>112</v>
      </c>
      <c r="E237" s="2" t="s">
        <v>113</v>
      </c>
      <c r="F237" s="2" t="s">
        <v>62</v>
      </c>
      <c r="G237" s="11">
        <v>44794</v>
      </c>
      <c r="H237" s="2">
        <v>15</v>
      </c>
      <c r="I237" s="2">
        <v>4566.62</v>
      </c>
      <c r="J237" s="2" t="str" cm="1">
        <f t="array" ref="J237">_xlfn.IFS(I237="","review",H237&lt;=0,"review",H237&gt;=100,"review",TRUE,"Ok")</f>
        <v>Ok</v>
      </c>
      <c r="K237" s="2">
        <v>0.12</v>
      </c>
      <c r="L237" s="2">
        <v>2778.57</v>
      </c>
      <c r="M237" s="2" t="s">
        <v>98</v>
      </c>
    </row>
    <row r="238" spans="1:13">
      <c r="A238" s="2" t="s">
        <v>565</v>
      </c>
      <c r="B238" s="2" t="s">
        <v>566</v>
      </c>
      <c r="C238" s="3" t="s">
        <v>107</v>
      </c>
      <c r="D238" s="3" t="s">
        <v>207</v>
      </c>
      <c r="E238" s="3" t="s">
        <v>325</v>
      </c>
      <c r="F238" s="3" t="s">
        <v>87</v>
      </c>
      <c r="G238" s="12">
        <v>44794</v>
      </c>
      <c r="H238" s="3">
        <v>20</v>
      </c>
      <c r="I238" s="3">
        <v>2076.6999999999998</v>
      </c>
      <c r="J238" s="2" t="str" cm="1">
        <f t="array" ref="J238">_xlfn.IFS(I238="","review",H238&lt;=0,"review",H238&gt;=100,"review",TRUE,"Ok")</f>
        <v>Ok</v>
      </c>
      <c r="K238" s="3">
        <v>0</v>
      </c>
      <c r="L238" s="3">
        <v>1510.28</v>
      </c>
      <c r="M238" s="3" t="s">
        <v>81</v>
      </c>
    </row>
    <row r="239" spans="1:13">
      <c r="A239" s="2" t="s">
        <v>551</v>
      </c>
      <c r="B239" s="2" t="s">
        <v>178</v>
      </c>
      <c r="C239" s="3" t="s">
        <v>84</v>
      </c>
      <c r="D239" s="3" t="s">
        <v>159</v>
      </c>
      <c r="E239" s="3" t="s">
        <v>185</v>
      </c>
      <c r="F239" s="3" t="s">
        <v>92</v>
      </c>
      <c r="G239" s="12">
        <v>44787</v>
      </c>
      <c r="H239" s="3">
        <v>5</v>
      </c>
      <c r="I239" s="3">
        <v>3970.73</v>
      </c>
      <c r="J239" s="2" t="str" cm="1">
        <f t="array" ref="J239">_xlfn.IFS(I239="","review",H239&lt;=0,"review",H239&gt;=100,"review",TRUE,"Ok")</f>
        <v>Ok</v>
      </c>
      <c r="K239" s="3">
        <v>0.12</v>
      </c>
      <c r="L239" s="3">
        <v>2624.07</v>
      </c>
      <c r="M239" s="3" t="s">
        <v>81</v>
      </c>
    </row>
    <row r="240" spans="1:13">
      <c r="A240" s="2" t="s">
        <v>574</v>
      </c>
      <c r="B240" s="2" t="s">
        <v>206</v>
      </c>
      <c r="C240" s="3" t="s">
        <v>84</v>
      </c>
      <c r="D240" s="3" t="s">
        <v>60</v>
      </c>
      <c r="E240" s="3" t="s">
        <v>97</v>
      </c>
      <c r="F240" s="3" t="s">
        <v>92</v>
      </c>
      <c r="G240" s="12">
        <v>44785</v>
      </c>
      <c r="H240" s="3">
        <v>14</v>
      </c>
      <c r="I240" s="3">
        <v>2610.9299999999998</v>
      </c>
      <c r="J240" s="2" t="str" cm="1">
        <f t="array" ref="J240">_xlfn.IFS(I240="","review",H240&lt;=0,"review",H240&gt;=100,"review",TRUE,"Ok")</f>
        <v>Ok</v>
      </c>
      <c r="K240" s="3">
        <v>0.2</v>
      </c>
      <c r="L240" s="3">
        <v>1841.04</v>
      </c>
      <c r="M240" s="3" t="s">
        <v>63</v>
      </c>
    </row>
    <row r="241" spans="1:13">
      <c r="A241" s="2" t="s">
        <v>473</v>
      </c>
      <c r="B241" s="2" t="s">
        <v>248</v>
      </c>
      <c r="C241" s="3" t="s">
        <v>66</v>
      </c>
      <c r="D241" s="3" t="s">
        <v>355</v>
      </c>
      <c r="E241" s="3" t="s">
        <v>239</v>
      </c>
      <c r="F241" s="3" t="s">
        <v>135</v>
      </c>
      <c r="G241" s="12">
        <v>44783</v>
      </c>
      <c r="H241" s="3">
        <v>11</v>
      </c>
      <c r="I241" s="3">
        <v>2247.35</v>
      </c>
      <c r="J241" s="2" t="str" cm="1">
        <f t="array" ref="J241">_xlfn.IFS(I241="","review",H241&lt;=0,"review",H241&gt;=100,"review",TRUE,"Ok")</f>
        <v>Ok</v>
      </c>
      <c r="K241" s="3">
        <v>0.32</v>
      </c>
      <c r="L241" s="3">
        <v>1647.4</v>
      </c>
      <c r="M241" s="3" t="s">
        <v>98</v>
      </c>
    </row>
    <row r="242" spans="1:13">
      <c r="A242" s="2" t="s">
        <v>590</v>
      </c>
      <c r="B242" s="2" t="s">
        <v>440</v>
      </c>
      <c r="C242" s="2" t="s">
        <v>190</v>
      </c>
      <c r="D242" s="2" t="s">
        <v>318</v>
      </c>
      <c r="E242" s="2" t="s">
        <v>185</v>
      </c>
      <c r="F242" s="2" t="s">
        <v>403</v>
      </c>
      <c r="G242" s="11">
        <v>44783</v>
      </c>
      <c r="H242" s="2">
        <v>5</v>
      </c>
      <c r="I242" s="2">
        <v>4676.95</v>
      </c>
      <c r="J242" s="2" t="str" cm="1">
        <f t="array" ref="J242">_xlfn.IFS(I242="","review",H242&lt;=0,"review",H242&gt;=100,"review",TRUE,"Ok")</f>
        <v>Ok</v>
      </c>
      <c r="K242" s="2">
        <v>0.33</v>
      </c>
      <c r="L242" s="2">
        <v>2643.2</v>
      </c>
      <c r="M242" s="2" t="s">
        <v>98</v>
      </c>
    </row>
    <row r="243" spans="1:13">
      <c r="A243" s="2" t="s">
        <v>1259</v>
      </c>
      <c r="B243" s="2" t="s">
        <v>395</v>
      </c>
      <c r="C243" s="2" t="s">
        <v>107</v>
      </c>
      <c r="D243" s="2" t="s">
        <v>141</v>
      </c>
      <c r="E243" s="2" t="s">
        <v>276</v>
      </c>
      <c r="F243" s="2" t="s">
        <v>87</v>
      </c>
      <c r="G243" s="11">
        <v>44780</v>
      </c>
      <c r="H243" s="2">
        <v>8</v>
      </c>
      <c r="I243" s="2">
        <v>3749.22</v>
      </c>
      <c r="J243" s="2" t="str" cm="1">
        <f t="array" ref="J243">_xlfn.IFS(I243="","review",H243&lt;=0,"review",H243&gt;=100,"review",TRUE,"Ok")</f>
        <v>Ok</v>
      </c>
      <c r="K243" s="2">
        <v>0.17</v>
      </c>
      <c r="L243" s="2">
        <v>2283.27</v>
      </c>
      <c r="M243" s="2" t="s">
        <v>98</v>
      </c>
    </row>
    <row r="244" spans="1:13">
      <c r="A244" s="2" t="s">
        <v>265</v>
      </c>
      <c r="B244" s="2" t="s">
        <v>266</v>
      </c>
      <c r="C244" s="2" t="s">
        <v>190</v>
      </c>
      <c r="D244" s="2" t="s">
        <v>267</v>
      </c>
      <c r="E244" s="2" t="s">
        <v>122</v>
      </c>
      <c r="F244" s="2" t="s">
        <v>123</v>
      </c>
      <c r="G244" s="11">
        <v>44767</v>
      </c>
      <c r="H244" s="2">
        <v>16</v>
      </c>
      <c r="I244" s="2">
        <v>308.29000000000002</v>
      </c>
      <c r="J244" s="2" t="str" cm="1">
        <f t="array" ref="J244">_xlfn.IFS(I244="","review",H244&lt;=0,"review",H244&gt;=100,"review",TRUE,"Ok")</f>
        <v>Ok</v>
      </c>
      <c r="K244" s="2">
        <v>0.17</v>
      </c>
      <c r="L244" s="2">
        <v>230.56</v>
      </c>
      <c r="M244" s="2" t="s">
        <v>98</v>
      </c>
    </row>
    <row r="245" spans="1:13">
      <c r="A245" s="2" t="s">
        <v>315</v>
      </c>
      <c r="B245" s="2" t="s">
        <v>236</v>
      </c>
      <c r="C245" s="2" t="s">
        <v>120</v>
      </c>
      <c r="D245" s="2" t="s">
        <v>90</v>
      </c>
      <c r="E245" s="2" t="s">
        <v>117</v>
      </c>
      <c r="F245" s="2" t="s">
        <v>62</v>
      </c>
      <c r="G245" s="11">
        <v>44767</v>
      </c>
      <c r="H245" s="2">
        <v>13</v>
      </c>
      <c r="I245" s="2">
        <v>239.6</v>
      </c>
      <c r="J245" s="2" t="str" cm="1">
        <f t="array" ref="J245">_xlfn.IFS(I245="","review",H245&lt;=0,"review",H245&gt;=100,"review",TRUE,"Ok")</f>
        <v>Ok</v>
      </c>
      <c r="K245" s="2">
        <v>0.21</v>
      </c>
      <c r="L245" s="2">
        <v>125.41</v>
      </c>
      <c r="M245" s="2" t="s">
        <v>81</v>
      </c>
    </row>
    <row r="246" spans="1:13">
      <c r="A246" s="2" t="s">
        <v>270</v>
      </c>
      <c r="B246" s="2" t="s">
        <v>65</v>
      </c>
      <c r="C246" s="2" t="s">
        <v>66</v>
      </c>
      <c r="D246" s="2" t="s">
        <v>179</v>
      </c>
      <c r="E246" s="2" t="s">
        <v>216</v>
      </c>
      <c r="F246" s="2" t="s">
        <v>135</v>
      </c>
      <c r="G246" s="11">
        <v>44766</v>
      </c>
      <c r="H246" s="2">
        <v>4</v>
      </c>
      <c r="I246" s="2">
        <v>1887.5</v>
      </c>
      <c r="J246" s="2" t="str" cm="1">
        <f t="array" ref="J246">_xlfn.IFS(I246="","review",H246&lt;=0,"review",H246&gt;=100,"review",TRUE,"Ok")</f>
        <v>Ok</v>
      </c>
      <c r="K246" s="2">
        <v>0.14000000000000001</v>
      </c>
      <c r="L246" s="2">
        <v>921.49</v>
      </c>
      <c r="M246" s="2" t="s">
        <v>70</v>
      </c>
    </row>
    <row r="247" spans="1:13">
      <c r="A247" s="2" t="s">
        <v>516</v>
      </c>
      <c r="B247" s="2" t="s">
        <v>467</v>
      </c>
      <c r="C247" s="2" t="s">
        <v>167</v>
      </c>
      <c r="D247" s="2" t="s">
        <v>148</v>
      </c>
      <c r="E247" s="2" t="s">
        <v>356</v>
      </c>
      <c r="F247" s="2" t="s">
        <v>92</v>
      </c>
      <c r="G247" s="11">
        <v>44765</v>
      </c>
      <c r="H247" s="2">
        <v>19</v>
      </c>
      <c r="I247" s="2">
        <v>4572.04</v>
      </c>
      <c r="J247" s="2" t="str" cm="1">
        <f t="array" ref="J247">_xlfn.IFS(I247="","review",H247&lt;=0,"review",H247&gt;=100,"review",TRUE,"Ok")</f>
        <v>Ok</v>
      </c>
      <c r="K247" s="2">
        <v>0.32</v>
      </c>
      <c r="L247" s="2">
        <v>2792.24</v>
      </c>
      <c r="M247" s="2" t="s">
        <v>63</v>
      </c>
    </row>
    <row r="248" spans="1:13">
      <c r="A248" s="2" t="s">
        <v>1260</v>
      </c>
      <c r="B248" s="2" t="s">
        <v>502</v>
      </c>
      <c r="C248" s="3" t="s">
        <v>66</v>
      </c>
      <c r="D248" s="3" t="s">
        <v>171</v>
      </c>
      <c r="E248" s="3" t="s">
        <v>416</v>
      </c>
      <c r="F248" s="3" t="s">
        <v>123</v>
      </c>
      <c r="G248" s="12">
        <v>44764</v>
      </c>
      <c r="H248" s="3">
        <v>19</v>
      </c>
      <c r="I248" s="3">
        <v>1886.27</v>
      </c>
      <c r="J248" s="2" t="str" cm="1">
        <f t="array" ref="J248">_xlfn.IFS(I248="","review",H248&lt;=0,"review",H248&gt;=100,"review",TRUE,"Ok")</f>
        <v>Ok</v>
      </c>
      <c r="K248" s="3">
        <v>0.23</v>
      </c>
      <c r="L248" s="3">
        <v>1106.8699999999999</v>
      </c>
      <c r="M248" s="3" t="s">
        <v>70</v>
      </c>
    </row>
    <row r="249" spans="1:13">
      <c r="A249" s="2" t="s">
        <v>313</v>
      </c>
      <c r="B249" s="2" t="s">
        <v>287</v>
      </c>
      <c r="C249" s="3" t="s">
        <v>130</v>
      </c>
      <c r="D249" s="3" t="s">
        <v>294</v>
      </c>
      <c r="E249" s="3" t="s">
        <v>314</v>
      </c>
      <c r="F249" s="3" t="s">
        <v>135</v>
      </c>
      <c r="G249" s="12">
        <v>44763</v>
      </c>
      <c r="H249" s="3">
        <v>19</v>
      </c>
      <c r="I249" s="3">
        <v>772.94</v>
      </c>
      <c r="J249" s="2" t="str" cm="1">
        <f t="array" ref="J249">_xlfn.IFS(I249="","review",H249&lt;=0,"review",H249&gt;=100,"review",TRUE,"Ok")</f>
        <v>Ok</v>
      </c>
      <c r="K249" s="3">
        <v>0.22</v>
      </c>
      <c r="L249" s="3">
        <v>550.07000000000005</v>
      </c>
      <c r="M249" s="3" t="s">
        <v>98</v>
      </c>
    </row>
    <row r="250" spans="1:13">
      <c r="A250" s="2" t="s">
        <v>491</v>
      </c>
      <c r="B250" s="2" t="s">
        <v>154</v>
      </c>
      <c r="C250" s="2" t="s">
        <v>120</v>
      </c>
      <c r="D250" s="2" t="s">
        <v>112</v>
      </c>
      <c r="E250" s="2" t="s">
        <v>191</v>
      </c>
      <c r="F250" s="2" t="s">
        <v>123</v>
      </c>
      <c r="G250" s="11">
        <v>44761</v>
      </c>
      <c r="H250" s="2">
        <v>20</v>
      </c>
      <c r="I250" s="2">
        <v>2218.96</v>
      </c>
      <c r="J250" s="2" t="str" cm="1">
        <f t="array" ref="J250">_xlfn.IFS(I250="","review",H250&lt;=0,"review",H250&gt;=100,"review",TRUE,"Ok")</f>
        <v>Ok</v>
      </c>
      <c r="K250" s="2">
        <v>0.17</v>
      </c>
      <c r="L250" s="2">
        <v>1048.01</v>
      </c>
      <c r="M250" s="2" t="s">
        <v>98</v>
      </c>
    </row>
    <row r="251" spans="1:13">
      <c r="A251" s="2" t="s">
        <v>424</v>
      </c>
      <c r="B251" s="2" t="s">
        <v>364</v>
      </c>
      <c r="C251" s="3" t="s">
        <v>120</v>
      </c>
      <c r="D251" s="3" t="s">
        <v>159</v>
      </c>
      <c r="E251" s="3" t="s">
        <v>314</v>
      </c>
      <c r="F251" s="3" t="s">
        <v>135</v>
      </c>
      <c r="G251" s="12">
        <v>44760</v>
      </c>
      <c r="H251" s="3">
        <v>18</v>
      </c>
      <c r="I251" s="3">
        <v>4720.8500000000004</v>
      </c>
      <c r="J251" s="2" t="str" cm="1">
        <f t="array" ref="J251">_xlfn.IFS(I251="","review",H251&lt;=0,"review",H251&gt;=100,"review",TRUE,"Ok")</f>
        <v>Ok</v>
      </c>
      <c r="K251" s="3">
        <v>0.25</v>
      </c>
      <c r="L251" s="3">
        <v>3408.97</v>
      </c>
      <c r="M251" s="3" t="s">
        <v>98</v>
      </c>
    </row>
    <row r="252" spans="1:13">
      <c r="A252" s="2" t="s">
        <v>102</v>
      </c>
      <c r="B252" s="2" t="s">
        <v>103</v>
      </c>
      <c r="C252" s="2" t="s">
        <v>73</v>
      </c>
      <c r="D252" s="2" t="s">
        <v>104</v>
      </c>
      <c r="E252" s="2" t="s">
        <v>80</v>
      </c>
      <c r="F252" s="2" t="s">
        <v>62</v>
      </c>
      <c r="G252" s="11">
        <v>44752</v>
      </c>
      <c r="H252" s="2">
        <v>17</v>
      </c>
      <c r="I252" s="2">
        <v>4738.1899999999996</v>
      </c>
      <c r="J252" s="2" t="str" cm="1">
        <f t="array" ref="J252">_xlfn.IFS(I252="","review",H252&lt;=0,"review",H252&gt;=100,"review",TRUE,"Ok")</f>
        <v>Ok</v>
      </c>
      <c r="K252" s="2">
        <v>0.22</v>
      </c>
      <c r="L252" s="2">
        <v>3251.4</v>
      </c>
      <c r="M252" s="2" t="s">
        <v>70</v>
      </c>
    </row>
    <row r="253" spans="1:13">
      <c r="A253" s="2" t="s">
        <v>528</v>
      </c>
      <c r="B253" s="2" t="s">
        <v>212</v>
      </c>
      <c r="C253" s="3" t="s">
        <v>73</v>
      </c>
      <c r="D253" s="3" t="s">
        <v>322</v>
      </c>
      <c r="E253" s="3" t="s">
        <v>109</v>
      </c>
      <c r="F253" s="3" t="s">
        <v>69</v>
      </c>
      <c r="G253" s="12">
        <v>44749</v>
      </c>
      <c r="H253" s="3">
        <v>2</v>
      </c>
      <c r="I253" s="3">
        <v>721.86</v>
      </c>
      <c r="J253" s="2" t="str" cm="1">
        <f t="array" ref="J253">_xlfn.IFS(I253="","review",H253&lt;=0,"review",H253&gt;=100,"review",TRUE,"Ok")</f>
        <v>Ok</v>
      </c>
      <c r="K253" s="3">
        <v>0.31</v>
      </c>
      <c r="L253" s="3">
        <v>377.02</v>
      </c>
      <c r="M253" s="3" t="s">
        <v>98</v>
      </c>
    </row>
    <row r="254" spans="1:13">
      <c r="A254" s="2" t="s">
        <v>310</v>
      </c>
      <c r="B254" s="2" t="s">
        <v>236</v>
      </c>
      <c r="C254" s="3" t="s">
        <v>84</v>
      </c>
      <c r="D254" s="3" t="s">
        <v>309</v>
      </c>
      <c r="E254" s="3" t="s">
        <v>188</v>
      </c>
      <c r="F254" s="3" t="s">
        <v>135</v>
      </c>
      <c r="G254" s="12">
        <v>44747</v>
      </c>
      <c r="H254" s="3">
        <v>6</v>
      </c>
      <c r="I254" s="3">
        <v>3587.79</v>
      </c>
      <c r="J254" s="2" t="str" cm="1">
        <f t="array" ref="J254">_xlfn.IFS(I254="","review",H254&lt;=0,"review",H254&gt;=100,"review",TRUE,"Ok")</f>
        <v>Ok</v>
      </c>
      <c r="K254" s="3">
        <v>0.19</v>
      </c>
      <c r="L254" s="3">
        <v>2095.0300000000002</v>
      </c>
      <c r="M254" s="3" t="s">
        <v>76</v>
      </c>
    </row>
    <row r="255" spans="1:13">
      <c r="A255" s="2" t="s">
        <v>433</v>
      </c>
      <c r="B255" s="2" t="s">
        <v>368</v>
      </c>
      <c r="C255" s="2" t="s">
        <v>73</v>
      </c>
      <c r="D255" s="2" t="s">
        <v>267</v>
      </c>
      <c r="E255" s="2" t="s">
        <v>208</v>
      </c>
      <c r="F255" s="2" t="s">
        <v>198</v>
      </c>
      <c r="G255" s="11">
        <v>44746</v>
      </c>
      <c r="H255" s="2">
        <v>2</v>
      </c>
      <c r="I255" s="2">
        <v>2021.21</v>
      </c>
      <c r="J255" s="2" t="str" cm="1">
        <f t="array" ref="J255">_xlfn.IFS(I255="","review",H255&lt;=0,"review",H255&gt;=100,"review",TRUE,"Ok")</f>
        <v>Ok</v>
      </c>
      <c r="K255" s="2">
        <v>0.16</v>
      </c>
      <c r="L255" s="2">
        <v>1366.94</v>
      </c>
      <c r="M255" s="2" t="s">
        <v>81</v>
      </c>
    </row>
    <row r="256" spans="1:13">
      <c r="A256" s="2" t="s">
        <v>459</v>
      </c>
      <c r="B256" s="2" t="s">
        <v>65</v>
      </c>
      <c r="C256" s="3" t="s">
        <v>84</v>
      </c>
      <c r="D256" s="3" t="s">
        <v>74</v>
      </c>
      <c r="E256" s="3" t="s">
        <v>68</v>
      </c>
      <c r="F256" s="3" t="s">
        <v>69</v>
      </c>
      <c r="G256" s="12">
        <v>44746</v>
      </c>
      <c r="H256" s="3">
        <v>8</v>
      </c>
      <c r="I256" s="3">
        <v>2181.5100000000002</v>
      </c>
      <c r="J256" s="2" t="str" cm="1">
        <f t="array" ref="J256">_xlfn.IFS(I256="","review",H256&lt;=0,"review",H256&gt;=100,"review",TRUE,"Ok")</f>
        <v>Ok</v>
      </c>
      <c r="K256" s="3">
        <v>0.2</v>
      </c>
      <c r="L256" s="3">
        <v>992.29</v>
      </c>
      <c r="M256" s="3" t="s">
        <v>63</v>
      </c>
    </row>
    <row r="257" spans="1:13">
      <c r="A257" s="2" t="s">
        <v>594</v>
      </c>
      <c r="B257" s="2" t="s">
        <v>305</v>
      </c>
      <c r="C257" s="2" t="s">
        <v>167</v>
      </c>
      <c r="D257" s="2" t="s">
        <v>294</v>
      </c>
      <c r="E257" s="2" t="s">
        <v>185</v>
      </c>
      <c r="F257" s="2" t="s">
        <v>92</v>
      </c>
      <c r="G257" s="11">
        <v>44727</v>
      </c>
      <c r="H257" s="2">
        <v>5</v>
      </c>
      <c r="I257" s="2">
        <v>1456.04</v>
      </c>
      <c r="J257" s="2" t="str" cm="1">
        <f t="array" ref="J257">_xlfn.IFS(I257="","review",H257&lt;=0,"review",H257&gt;=100,"review",TRUE,"Ok")</f>
        <v>Ok</v>
      </c>
      <c r="K257" s="2">
        <v>0.17</v>
      </c>
      <c r="L257" s="2">
        <v>689.48</v>
      </c>
      <c r="M257" s="2" t="s">
        <v>63</v>
      </c>
    </row>
    <row r="258" spans="1:13">
      <c r="A258" s="2" t="s">
        <v>289</v>
      </c>
      <c r="B258" s="2" t="s">
        <v>166</v>
      </c>
      <c r="C258" s="2" t="s">
        <v>130</v>
      </c>
      <c r="D258" s="2" t="s">
        <v>193</v>
      </c>
      <c r="E258" s="2" t="s">
        <v>75</v>
      </c>
      <c r="F258" s="2" t="s">
        <v>69</v>
      </c>
      <c r="G258" s="11">
        <v>44726</v>
      </c>
      <c r="H258" s="2">
        <v>-3</v>
      </c>
      <c r="I258" s="2">
        <v>4092.68</v>
      </c>
      <c r="J258" s="2" t="str" cm="1">
        <f t="array" ref="J258">_xlfn.IFS(I258="","review",H258&lt;=0,"review",H258&gt;=100,"review",TRUE,"Ok")</f>
        <v>review</v>
      </c>
      <c r="K258" s="2">
        <v>0.05</v>
      </c>
      <c r="L258" s="2">
        <v>2073.12</v>
      </c>
      <c r="M258" s="2" t="s">
        <v>98</v>
      </c>
    </row>
    <row r="259" spans="1:13">
      <c r="A259" s="2" t="s">
        <v>353</v>
      </c>
      <c r="B259" s="2" t="s">
        <v>354</v>
      </c>
      <c r="C259" s="3" t="s">
        <v>130</v>
      </c>
      <c r="D259" s="3" t="s">
        <v>355</v>
      </c>
      <c r="E259" s="3" t="s">
        <v>356</v>
      </c>
      <c r="F259" s="3" t="s">
        <v>92</v>
      </c>
      <c r="G259" s="12">
        <v>44723</v>
      </c>
      <c r="H259" s="3">
        <v>5</v>
      </c>
      <c r="I259" s="3">
        <v>3132.91</v>
      </c>
      <c r="J259" s="2" t="str" cm="1">
        <f t="array" ref="J259">_xlfn.IFS(I259="","review",H259&lt;=0,"review",H259&gt;=100,"review",TRUE,"Ok")</f>
        <v>Ok</v>
      </c>
      <c r="K259" s="3">
        <v>0.11</v>
      </c>
      <c r="L259" s="3">
        <v>1668.42</v>
      </c>
      <c r="M259" s="3" t="s">
        <v>76</v>
      </c>
    </row>
    <row r="260" spans="1:13">
      <c r="A260" s="2" t="s">
        <v>454</v>
      </c>
      <c r="B260" s="2" t="s">
        <v>234</v>
      </c>
      <c r="C260" s="2" t="s">
        <v>95</v>
      </c>
      <c r="D260" s="2" t="s">
        <v>309</v>
      </c>
      <c r="E260" s="2" t="s">
        <v>191</v>
      </c>
      <c r="F260" s="2" t="s">
        <v>123</v>
      </c>
      <c r="G260" s="11">
        <v>44716</v>
      </c>
      <c r="H260" s="2">
        <v>15</v>
      </c>
      <c r="I260" s="2">
        <v>1868.37</v>
      </c>
      <c r="J260" s="2" t="str" cm="1">
        <f t="array" ref="J260">_xlfn.IFS(I260="","review",H260&lt;=0,"review",H260&gt;=100,"review",TRUE,"Ok")</f>
        <v>Ok</v>
      </c>
      <c r="K260" s="2">
        <v>0.17</v>
      </c>
      <c r="L260" s="2">
        <v>954.62</v>
      </c>
      <c r="M260" s="2" t="s">
        <v>81</v>
      </c>
    </row>
    <row r="261" spans="1:13">
      <c r="A261" s="2" t="s">
        <v>282</v>
      </c>
      <c r="B261" s="2" t="s">
        <v>283</v>
      </c>
      <c r="C261" s="3" t="s">
        <v>73</v>
      </c>
      <c r="D261" s="3" t="s">
        <v>232</v>
      </c>
      <c r="E261" s="3" t="s">
        <v>208</v>
      </c>
      <c r="F261" s="3" t="s">
        <v>198</v>
      </c>
      <c r="G261" s="12">
        <v>44715</v>
      </c>
      <c r="H261" s="3">
        <v>8</v>
      </c>
      <c r="I261" s="3">
        <v>2274.13</v>
      </c>
      <c r="J261" s="2" t="str" cm="1">
        <f t="array" ref="J261">_xlfn.IFS(I261="","review",H261&lt;=0,"review",H261&gt;=100,"review",TRUE,"Ok")</f>
        <v>Ok</v>
      </c>
      <c r="K261" s="3">
        <v>0.28999999999999998</v>
      </c>
      <c r="L261" s="3">
        <v>1312.72</v>
      </c>
      <c r="M261" s="3" t="s">
        <v>63</v>
      </c>
    </row>
    <row r="262" spans="1:13">
      <c r="A262" s="2" t="s">
        <v>374</v>
      </c>
      <c r="B262" s="2" t="s">
        <v>375</v>
      </c>
      <c r="C262" s="3" t="s">
        <v>130</v>
      </c>
      <c r="D262" s="3" t="s">
        <v>260</v>
      </c>
      <c r="E262" s="3" t="s">
        <v>91</v>
      </c>
      <c r="F262" s="3" t="s">
        <v>92</v>
      </c>
      <c r="G262" s="12">
        <v>44713</v>
      </c>
      <c r="H262" s="3">
        <v>17</v>
      </c>
      <c r="I262" s="3">
        <v>2641.25</v>
      </c>
      <c r="J262" s="2" t="str" cm="1">
        <f t="array" ref="J262">_xlfn.IFS(I262="","review",H262&lt;=0,"review",H262&gt;=100,"review",TRUE,"Ok")</f>
        <v>Ok</v>
      </c>
      <c r="K262" s="3">
        <v>0.11</v>
      </c>
      <c r="L262" s="3">
        <v>1426.19</v>
      </c>
      <c r="M262" s="3" t="s">
        <v>76</v>
      </c>
    </row>
    <row r="263" spans="1:13">
      <c r="A263" s="2" t="s">
        <v>1261</v>
      </c>
      <c r="B263" s="2" t="s">
        <v>421</v>
      </c>
      <c r="C263" s="3" t="s">
        <v>95</v>
      </c>
      <c r="D263" s="3" t="s">
        <v>175</v>
      </c>
      <c r="E263" s="3" t="s">
        <v>239</v>
      </c>
      <c r="F263" s="3" t="s">
        <v>135</v>
      </c>
      <c r="G263" s="12">
        <v>44712</v>
      </c>
      <c r="H263" s="3">
        <v>19</v>
      </c>
      <c r="I263" s="3">
        <v>2618.54</v>
      </c>
      <c r="J263" s="2" t="str" cm="1">
        <f t="array" ref="J263">_xlfn.IFS(I263="","review",H263&lt;=0,"review",H263&gt;=100,"review",TRUE,"Ok")</f>
        <v>Ok</v>
      </c>
      <c r="K263" s="3">
        <v>0.34</v>
      </c>
      <c r="L263" s="3">
        <v>1719.84</v>
      </c>
      <c r="M263" s="3" t="s">
        <v>81</v>
      </c>
    </row>
    <row r="264" spans="1:13">
      <c r="A264" s="2" t="s">
        <v>173</v>
      </c>
      <c r="B264" s="2" t="s">
        <v>174</v>
      </c>
      <c r="C264" s="2" t="s">
        <v>84</v>
      </c>
      <c r="D264" s="2" t="s">
        <v>175</v>
      </c>
      <c r="E264" s="2" t="s">
        <v>176</v>
      </c>
      <c r="F264" s="2" t="s">
        <v>62</v>
      </c>
      <c r="G264" s="11">
        <v>44704</v>
      </c>
      <c r="H264" s="2">
        <v>14</v>
      </c>
      <c r="I264" s="2">
        <v>3326.55</v>
      </c>
      <c r="J264" s="2" t="str" cm="1">
        <f t="array" ref="J264">_xlfn.IFS(I264="","review",H264&lt;=0,"review",H264&gt;=100,"review",TRUE,"Ok")</f>
        <v>Ok</v>
      </c>
      <c r="K264" s="2">
        <v>0.14000000000000001</v>
      </c>
      <c r="L264" s="2">
        <v>1911.53</v>
      </c>
      <c r="M264" s="2" t="s">
        <v>98</v>
      </c>
    </row>
    <row r="265" spans="1:13">
      <c r="A265" s="2" t="s">
        <v>302</v>
      </c>
      <c r="B265" s="2" t="s">
        <v>275</v>
      </c>
      <c r="C265" s="3" t="s">
        <v>190</v>
      </c>
      <c r="D265" s="3" t="s">
        <v>85</v>
      </c>
      <c r="E265" s="3" t="s">
        <v>197</v>
      </c>
      <c r="F265" s="3" t="s">
        <v>198</v>
      </c>
      <c r="G265" s="12">
        <v>44702</v>
      </c>
      <c r="H265" s="3">
        <v>10</v>
      </c>
      <c r="I265" s="3">
        <v>453.95</v>
      </c>
      <c r="J265" s="2" t="str" cm="1">
        <f t="array" ref="J265">_xlfn.IFS(I265="","review",H265&lt;=0,"review",H265&gt;=100,"review",TRUE,"Ok")</f>
        <v>Ok</v>
      </c>
      <c r="K265" s="3">
        <v>0.13</v>
      </c>
      <c r="L265" s="3">
        <v>325.35000000000002</v>
      </c>
      <c r="M265" s="3" t="s">
        <v>76</v>
      </c>
    </row>
    <row r="266" spans="1:13">
      <c r="A266" s="2" t="s">
        <v>538</v>
      </c>
      <c r="B266" s="2" t="s">
        <v>228</v>
      </c>
      <c r="C266" s="3" t="s">
        <v>95</v>
      </c>
      <c r="D266" s="3" t="s">
        <v>175</v>
      </c>
      <c r="E266" s="3" t="s">
        <v>180</v>
      </c>
      <c r="F266" s="3" t="s">
        <v>123</v>
      </c>
      <c r="G266" s="12">
        <v>44702</v>
      </c>
      <c r="H266" s="3">
        <v>13</v>
      </c>
      <c r="I266" s="3">
        <v>3355.81</v>
      </c>
      <c r="J266" s="2" t="str" cm="1">
        <f t="array" ref="J266">_xlfn.IFS(I266="","review",H266&lt;=0,"review",H266&gt;=100,"review",TRUE,"Ok")</f>
        <v>Ok</v>
      </c>
      <c r="K266" s="3">
        <v>0.22</v>
      </c>
      <c r="L266" s="3">
        <v>1754.96</v>
      </c>
      <c r="M266" s="3" t="s">
        <v>70</v>
      </c>
    </row>
    <row r="267" spans="1:13">
      <c r="A267" s="2" t="s">
        <v>597</v>
      </c>
      <c r="B267" s="2" t="s">
        <v>161</v>
      </c>
      <c r="C267" s="3" t="s">
        <v>190</v>
      </c>
      <c r="D267" s="3" t="s">
        <v>121</v>
      </c>
      <c r="E267" s="3" t="s">
        <v>172</v>
      </c>
      <c r="F267" s="3" t="s">
        <v>62</v>
      </c>
      <c r="G267" s="12">
        <v>44696</v>
      </c>
      <c r="H267" s="3">
        <v>13</v>
      </c>
      <c r="I267" s="3">
        <v>4783.9399999999996</v>
      </c>
      <c r="J267" s="2" t="str" cm="1">
        <f t="array" ref="J267">_xlfn.IFS(I267="","review",H267&lt;=0,"review",H267&gt;=100,"review",TRUE,"Ok")</f>
        <v>Ok</v>
      </c>
      <c r="K267" s="3">
        <v>0.13</v>
      </c>
      <c r="L267" s="3">
        <v>2292.9699999999998</v>
      </c>
      <c r="M267" s="3" t="s">
        <v>98</v>
      </c>
    </row>
    <row r="268" spans="1:13">
      <c r="A268" s="2" t="s">
        <v>567</v>
      </c>
      <c r="B268" s="2" t="s">
        <v>508</v>
      </c>
      <c r="C268" s="2" t="s">
        <v>190</v>
      </c>
      <c r="D268" s="2" t="s">
        <v>104</v>
      </c>
      <c r="E268" s="2" t="s">
        <v>257</v>
      </c>
      <c r="F268" s="2" t="s">
        <v>69</v>
      </c>
      <c r="G268" s="11">
        <v>44692</v>
      </c>
      <c r="H268" s="2">
        <v>6</v>
      </c>
      <c r="I268" s="2">
        <v>2895.76</v>
      </c>
      <c r="J268" s="2" t="str" cm="1">
        <f t="array" ref="J268">_xlfn.IFS(I268="","review",H268&lt;=0,"review",H268&gt;=100,"review",TRUE,"Ok")</f>
        <v>Ok</v>
      </c>
      <c r="K268" s="2">
        <v>0.13</v>
      </c>
      <c r="L268" s="2">
        <v>1897.67</v>
      </c>
      <c r="M268" s="2" t="s">
        <v>81</v>
      </c>
    </row>
    <row r="269" spans="1:13">
      <c r="A269" s="2" t="s">
        <v>480</v>
      </c>
      <c r="B269" s="2" t="s">
        <v>250</v>
      </c>
      <c r="C269" s="3" t="s">
        <v>95</v>
      </c>
      <c r="D269" s="3" t="s">
        <v>108</v>
      </c>
      <c r="E269" s="3" t="s">
        <v>86</v>
      </c>
      <c r="F269" s="3" t="s">
        <v>87</v>
      </c>
      <c r="G269" s="12">
        <v>44691</v>
      </c>
      <c r="H269" s="3">
        <v>17</v>
      </c>
      <c r="I269" s="3">
        <v>3215.37</v>
      </c>
      <c r="J269" s="2" t="str" cm="1">
        <f t="array" ref="J269">_xlfn.IFS(I269="","review",H269&lt;=0,"review",H269&gt;=100,"review",TRUE,"Ok")</f>
        <v>Ok</v>
      </c>
      <c r="K269" s="3">
        <v>0.2</v>
      </c>
      <c r="L269" s="3">
        <v>1891.44</v>
      </c>
      <c r="M269" s="3" t="s">
        <v>63</v>
      </c>
    </row>
    <row r="270" spans="1:13">
      <c r="A270" s="2" t="s">
        <v>1262</v>
      </c>
      <c r="B270" s="2" t="s">
        <v>520</v>
      </c>
      <c r="C270" s="3" t="s">
        <v>190</v>
      </c>
      <c r="D270" s="3" t="s">
        <v>171</v>
      </c>
      <c r="E270" s="3" t="s">
        <v>191</v>
      </c>
      <c r="F270" s="3" t="s">
        <v>123</v>
      </c>
      <c r="G270" s="12">
        <v>44686</v>
      </c>
      <c r="H270" s="3">
        <v>17</v>
      </c>
      <c r="I270" s="3">
        <v>3534.99</v>
      </c>
      <c r="J270" s="2" t="str" cm="1">
        <f t="array" ref="J270">_xlfn.IFS(I270="","review",H270&lt;=0,"review",H270&gt;=100,"review",TRUE,"Ok")</f>
        <v>Ok</v>
      </c>
      <c r="K270" s="3">
        <v>0.33</v>
      </c>
      <c r="L270" s="3">
        <v>2330.8200000000002</v>
      </c>
      <c r="M270" s="3" t="s">
        <v>63</v>
      </c>
    </row>
    <row r="271" spans="1:13">
      <c r="A271" s="2" t="s">
        <v>583</v>
      </c>
      <c r="B271" s="2" t="s">
        <v>584</v>
      </c>
      <c r="C271" s="2" t="s">
        <v>167</v>
      </c>
      <c r="D271" s="2" t="s">
        <v>232</v>
      </c>
      <c r="E271" s="2" t="s">
        <v>208</v>
      </c>
      <c r="F271" s="2" t="s">
        <v>198</v>
      </c>
      <c r="G271" s="11">
        <v>44686</v>
      </c>
      <c r="H271" s="2">
        <v>13</v>
      </c>
      <c r="I271" s="2">
        <v>4165.38</v>
      </c>
      <c r="J271" s="2" t="str" cm="1">
        <f t="array" ref="J271">_xlfn.IFS(I271="","review",H271&lt;=0,"review",H271&gt;=100,"review",TRUE,"Ok")</f>
        <v>Ok</v>
      </c>
      <c r="K271" s="2">
        <v>0.31</v>
      </c>
      <c r="L271" s="2">
        <v>2582.5700000000002</v>
      </c>
      <c r="M271" s="2" t="s">
        <v>81</v>
      </c>
    </row>
    <row r="272" spans="1:13">
      <c r="A272" s="2" t="s">
        <v>329</v>
      </c>
      <c r="B272" s="2" t="s">
        <v>330</v>
      </c>
      <c r="C272" s="3" t="s">
        <v>167</v>
      </c>
      <c r="D272" s="3" t="s">
        <v>90</v>
      </c>
      <c r="E272" s="3" t="s">
        <v>61</v>
      </c>
      <c r="F272" s="3" t="s">
        <v>62</v>
      </c>
      <c r="G272" s="12">
        <v>44676</v>
      </c>
      <c r="H272" s="3">
        <v>13</v>
      </c>
      <c r="I272" s="3">
        <v>4533.99</v>
      </c>
      <c r="J272" s="2" t="str" cm="1">
        <f t="array" ref="J272">_xlfn.IFS(I272="","review",H272&lt;=0,"review",H272&gt;=100,"review",TRUE,"Ok")</f>
        <v>Ok</v>
      </c>
      <c r="K272" s="3">
        <v>0.05</v>
      </c>
      <c r="L272" s="3">
        <v>3391.63</v>
      </c>
      <c r="M272" s="3" t="s">
        <v>70</v>
      </c>
    </row>
    <row r="273" spans="1:13">
      <c r="A273" s="2" t="s">
        <v>561</v>
      </c>
      <c r="B273" s="2" t="s">
        <v>349</v>
      </c>
      <c r="C273" s="3" t="s">
        <v>190</v>
      </c>
      <c r="D273" s="3" t="s">
        <v>121</v>
      </c>
      <c r="E273" s="3" t="s">
        <v>142</v>
      </c>
      <c r="F273" s="3" t="s">
        <v>69</v>
      </c>
      <c r="G273" s="12">
        <v>44669</v>
      </c>
      <c r="H273" s="3">
        <v>15</v>
      </c>
      <c r="I273" s="3">
        <v>2020.89</v>
      </c>
      <c r="J273" s="2" t="str" cm="1">
        <f t="array" ref="J273">_xlfn.IFS(I273="","review",H273&lt;=0,"review",H273&gt;=100,"review",TRUE,"Ok")</f>
        <v>Ok</v>
      </c>
      <c r="K273" s="3">
        <v>0.03</v>
      </c>
      <c r="L273" s="3">
        <v>1455.81</v>
      </c>
      <c r="M273" s="3" t="s">
        <v>98</v>
      </c>
    </row>
    <row r="274" spans="1:13">
      <c r="A274" s="2" t="s">
        <v>533</v>
      </c>
      <c r="B274" s="2" t="s">
        <v>449</v>
      </c>
      <c r="C274" s="2" t="s">
        <v>84</v>
      </c>
      <c r="D274" s="2" t="s">
        <v>232</v>
      </c>
      <c r="E274" s="2" t="s">
        <v>378</v>
      </c>
      <c r="F274" s="2" t="s">
        <v>198</v>
      </c>
      <c r="G274" s="11">
        <v>44665</v>
      </c>
      <c r="H274" s="2">
        <v>3</v>
      </c>
      <c r="I274" s="2">
        <v>3581.18</v>
      </c>
      <c r="J274" s="2" t="str" cm="1">
        <f t="array" ref="J274">_xlfn.IFS(I274="","review",H274&lt;=0,"review",H274&gt;=100,"review",TRUE,"Ok")</f>
        <v>Ok</v>
      </c>
      <c r="K274" s="2">
        <v>0.1</v>
      </c>
      <c r="L274" s="2">
        <v>1992.33</v>
      </c>
      <c r="M274" s="2" t="s">
        <v>98</v>
      </c>
    </row>
    <row r="275" spans="1:13">
      <c r="A275" s="2" t="s">
        <v>411</v>
      </c>
      <c r="B275" s="2" t="s">
        <v>1264</v>
      </c>
      <c r="C275" s="2" t="s">
        <v>190</v>
      </c>
      <c r="D275" s="2" t="s">
        <v>344</v>
      </c>
      <c r="E275" s="2" t="s">
        <v>149</v>
      </c>
      <c r="F275" s="2" t="s">
        <v>92</v>
      </c>
      <c r="G275" s="11">
        <v>44662</v>
      </c>
      <c r="H275" s="2">
        <v>10</v>
      </c>
      <c r="I275" s="2">
        <v>1725.81</v>
      </c>
      <c r="J275" s="2" t="str" cm="1">
        <f t="array" ref="J275">_xlfn.IFS(I275="","review",H275&lt;=0,"review",H275&gt;=100,"review",TRUE,"Ok")</f>
        <v>Ok</v>
      </c>
      <c r="K275" s="2">
        <v>0.15</v>
      </c>
      <c r="L275" s="2">
        <v>971.89</v>
      </c>
      <c r="M275" s="2" t="s">
        <v>76</v>
      </c>
    </row>
    <row r="276" spans="1:13">
      <c r="A276" s="2" t="s">
        <v>326</v>
      </c>
      <c r="B276" s="2" t="s">
        <v>210</v>
      </c>
      <c r="C276" s="3" t="s">
        <v>190</v>
      </c>
      <c r="D276" s="3" t="s">
        <v>327</v>
      </c>
      <c r="E276" s="3" t="s">
        <v>220</v>
      </c>
      <c r="F276" s="3" t="s">
        <v>87</v>
      </c>
      <c r="G276" s="12">
        <v>44656</v>
      </c>
      <c r="H276" s="3">
        <v>17</v>
      </c>
      <c r="I276" s="3">
        <v>2372.1</v>
      </c>
      <c r="J276" s="2" t="str" cm="1">
        <f t="array" ref="J276">_xlfn.IFS(I276="","review",H276&lt;=0,"review",H276&gt;=100,"review",TRUE,"Ok")</f>
        <v>Ok</v>
      </c>
      <c r="K276" s="3">
        <v>0.2</v>
      </c>
      <c r="L276" s="3">
        <v>1619.72</v>
      </c>
      <c r="M276" s="3" t="s">
        <v>63</v>
      </c>
    </row>
    <row r="277" spans="1:13">
      <c r="A277" s="2" t="s">
        <v>486</v>
      </c>
      <c r="B277" s="2" t="s">
        <v>1264</v>
      </c>
      <c r="C277" s="3" t="s">
        <v>84</v>
      </c>
      <c r="D277" s="3" t="s">
        <v>252</v>
      </c>
      <c r="E277" s="3" t="s">
        <v>208</v>
      </c>
      <c r="F277" s="3" t="s">
        <v>198</v>
      </c>
      <c r="G277" s="12">
        <v>44654</v>
      </c>
      <c r="H277" s="3">
        <v>4</v>
      </c>
      <c r="I277" s="3">
        <v>3762</v>
      </c>
      <c r="J277" s="2" t="str" cm="1">
        <f t="array" ref="J277">_xlfn.IFS(I277="","review",H277&lt;=0,"review",H277&gt;=100,"review",TRUE,"Ok")</f>
        <v>Ok</v>
      </c>
      <c r="K277" s="3">
        <v>0.32</v>
      </c>
      <c r="L277" s="3">
        <v>2696.64</v>
      </c>
      <c r="M277" s="3" t="s">
        <v>81</v>
      </c>
    </row>
    <row r="278" spans="1:13">
      <c r="A278" s="2" t="s">
        <v>237</v>
      </c>
      <c r="B278" s="2" t="s">
        <v>238</v>
      </c>
      <c r="C278" s="3" t="s">
        <v>130</v>
      </c>
      <c r="D278" s="3" t="s">
        <v>116</v>
      </c>
      <c r="E278" s="3" t="s">
        <v>239</v>
      </c>
      <c r="F278" s="3" t="s">
        <v>135</v>
      </c>
      <c r="G278" s="12">
        <v>44651</v>
      </c>
      <c r="H278" s="3">
        <v>14</v>
      </c>
      <c r="I278" s="3">
        <v>3407.62</v>
      </c>
      <c r="J278" s="2" t="str" cm="1">
        <f t="array" ref="J278">_xlfn.IFS(I278="","review",H278&lt;=0,"review",H278&gt;=100,"review",TRUE,"Ok")</f>
        <v>Ok</v>
      </c>
      <c r="K278" s="3">
        <v>0.15</v>
      </c>
      <c r="L278" s="3">
        <v>1916.24</v>
      </c>
      <c r="M278" s="3" t="s">
        <v>70</v>
      </c>
    </row>
    <row r="279" spans="1:13">
      <c r="A279" s="2" t="s">
        <v>578</v>
      </c>
      <c r="B279" s="2" t="s">
        <v>530</v>
      </c>
      <c r="C279" s="3" t="s">
        <v>167</v>
      </c>
      <c r="D279" s="3" t="s">
        <v>341</v>
      </c>
      <c r="E279" s="3" t="s">
        <v>80</v>
      </c>
      <c r="F279" s="3" t="s">
        <v>62</v>
      </c>
      <c r="G279" s="12">
        <v>44650</v>
      </c>
      <c r="H279" s="3">
        <v>0</v>
      </c>
      <c r="I279" s="3">
        <v>2959.54</v>
      </c>
      <c r="J279" s="2" t="str" cm="1">
        <f t="array" ref="J279">_xlfn.IFS(I279="","review",H279&lt;=0,"review",H279&gt;=100,"review",TRUE,"Ok")</f>
        <v>review</v>
      </c>
      <c r="K279" s="3">
        <v>0.23</v>
      </c>
      <c r="L279" s="3">
        <v>2060.4499999999998</v>
      </c>
      <c r="M279" s="3" t="s">
        <v>76</v>
      </c>
    </row>
    <row r="280" spans="1:13">
      <c r="A280" s="2" t="s">
        <v>425</v>
      </c>
      <c r="B280" s="2" t="s">
        <v>426</v>
      </c>
      <c r="C280" s="2" t="s">
        <v>190</v>
      </c>
      <c r="D280" s="2" t="s">
        <v>341</v>
      </c>
      <c r="E280" s="2" t="s">
        <v>325</v>
      </c>
      <c r="F280" s="2" t="s">
        <v>87</v>
      </c>
      <c r="G280" s="11">
        <v>44642</v>
      </c>
      <c r="H280" s="2">
        <v>8</v>
      </c>
      <c r="I280" s="2">
        <v>233.07</v>
      </c>
      <c r="J280" s="2" t="str" cm="1">
        <f t="array" ref="J280">_xlfn.IFS(I280="","review",H280&lt;=0,"review",H280&gt;=100,"review",TRUE,"Ok")</f>
        <v>Ok</v>
      </c>
      <c r="K280" s="2">
        <v>0.18</v>
      </c>
      <c r="L280" s="2">
        <v>126.08</v>
      </c>
      <c r="M280" s="2" t="s">
        <v>81</v>
      </c>
    </row>
    <row r="281" spans="1:13">
      <c r="A281" s="2" t="s">
        <v>487</v>
      </c>
      <c r="B281" s="2" t="s">
        <v>78</v>
      </c>
      <c r="C281" s="2" t="s">
        <v>130</v>
      </c>
      <c r="D281" s="2" t="s">
        <v>171</v>
      </c>
      <c r="E281" s="2" t="s">
        <v>113</v>
      </c>
      <c r="F281" s="2" t="s">
        <v>62</v>
      </c>
      <c r="G281" s="11">
        <v>44638</v>
      </c>
      <c r="H281" s="2">
        <v>5</v>
      </c>
      <c r="I281" s="2">
        <v>841.93</v>
      </c>
      <c r="J281" s="2" t="str" cm="1">
        <f t="array" ref="J281">_xlfn.IFS(I281="","review",H281&lt;=0,"review",H281&gt;=100,"review",TRUE,"Ok")</f>
        <v>Ok</v>
      </c>
      <c r="K281" s="2">
        <v>0.08</v>
      </c>
      <c r="L281" s="2">
        <v>629</v>
      </c>
      <c r="M281" s="2" t="s">
        <v>98</v>
      </c>
    </row>
    <row r="282" spans="1:13">
      <c r="A282" s="2" t="s">
        <v>253</v>
      </c>
      <c r="B282" s="2" t="s">
        <v>254</v>
      </c>
      <c r="C282" s="2" t="s">
        <v>73</v>
      </c>
      <c r="D282" s="2" t="s">
        <v>159</v>
      </c>
      <c r="E282" s="2" t="s">
        <v>201</v>
      </c>
      <c r="F282" s="2" t="s">
        <v>198</v>
      </c>
      <c r="G282" s="11">
        <v>44637</v>
      </c>
      <c r="H282" s="2">
        <v>19</v>
      </c>
      <c r="I282" s="2">
        <v>852.19</v>
      </c>
      <c r="J282" s="2" t="str" cm="1">
        <f t="array" ref="J282">_xlfn.IFS(I282="","review",H282&lt;=0,"review",H282&gt;=100,"review",TRUE,"Ok")</f>
        <v>Ok</v>
      </c>
      <c r="K282" s="2">
        <v>0.06</v>
      </c>
      <c r="L282" s="2">
        <v>607.07000000000005</v>
      </c>
      <c r="M282" s="2" t="s">
        <v>76</v>
      </c>
    </row>
    <row r="283" spans="1:13">
      <c r="A283" s="2" t="s">
        <v>300</v>
      </c>
      <c r="B283" s="2" t="s">
        <v>301</v>
      </c>
      <c r="C283" s="2" t="s">
        <v>130</v>
      </c>
      <c r="D283" s="2" t="s">
        <v>145</v>
      </c>
      <c r="E283" s="2" t="s">
        <v>146</v>
      </c>
      <c r="F283" s="2" t="s">
        <v>69</v>
      </c>
      <c r="G283" s="11">
        <v>44635</v>
      </c>
      <c r="H283" s="2">
        <v>9</v>
      </c>
      <c r="I283" s="2">
        <v>1961.52</v>
      </c>
      <c r="J283" s="2" t="str" cm="1">
        <f t="array" ref="J283">_xlfn.IFS(I283="","review",H283&lt;=0,"review",H283&gt;=100,"review",TRUE,"Ok")</f>
        <v>Ok</v>
      </c>
      <c r="K283" s="2">
        <v>0.2</v>
      </c>
      <c r="L283" s="2">
        <v>1433.62</v>
      </c>
      <c r="M283" s="2" t="s">
        <v>98</v>
      </c>
    </row>
    <row r="284" spans="1:13">
      <c r="A284" s="2" t="s">
        <v>430</v>
      </c>
      <c r="B284" s="2" t="s">
        <v>336</v>
      </c>
      <c r="C284" s="3" t="s">
        <v>107</v>
      </c>
      <c r="D284" s="3" t="s">
        <v>155</v>
      </c>
      <c r="E284" s="3" t="s">
        <v>164</v>
      </c>
      <c r="F284" s="3" t="s">
        <v>123</v>
      </c>
      <c r="G284" s="12">
        <v>44630</v>
      </c>
      <c r="H284" s="3">
        <v>12</v>
      </c>
      <c r="I284" s="3">
        <v>4434.66</v>
      </c>
      <c r="J284" s="2" t="str" cm="1">
        <f t="array" ref="J284">_xlfn.IFS(I284="","review",H284&lt;=0,"review",H284&gt;=100,"review",TRUE,"Ok")</f>
        <v>Ok</v>
      </c>
      <c r="K284" s="3">
        <v>0.17</v>
      </c>
      <c r="L284" s="3">
        <v>2248.4</v>
      </c>
      <c r="M284" s="3" t="s">
        <v>81</v>
      </c>
    </row>
    <row r="285" spans="1:13">
      <c r="A285" s="2" t="s">
        <v>507</v>
      </c>
      <c r="B285" s="2" t="s">
        <v>508</v>
      </c>
      <c r="C285" s="3" t="s">
        <v>95</v>
      </c>
      <c r="D285" s="3" t="s">
        <v>207</v>
      </c>
      <c r="E285" s="3" t="s">
        <v>239</v>
      </c>
      <c r="F285" s="3" t="s">
        <v>135</v>
      </c>
      <c r="G285" s="12">
        <v>44629</v>
      </c>
      <c r="H285" s="3">
        <v>5</v>
      </c>
      <c r="I285" s="3">
        <v>1866.4</v>
      </c>
      <c r="J285" s="2" t="str" cm="1">
        <f t="array" ref="J285">_xlfn.IFS(I285="","review",H285&lt;=0,"review",H285&gt;=100,"review",TRUE,"Ok")</f>
        <v>Ok</v>
      </c>
      <c r="K285" s="3">
        <v>0.02</v>
      </c>
      <c r="L285" s="3">
        <v>1350.95</v>
      </c>
      <c r="M285" s="3" t="s">
        <v>63</v>
      </c>
    </row>
    <row r="286" spans="1:13">
      <c r="A286" s="2" t="s">
        <v>582</v>
      </c>
      <c r="B286" s="2" t="s">
        <v>100</v>
      </c>
      <c r="C286" s="3" t="s">
        <v>130</v>
      </c>
      <c r="D286" s="3" t="s">
        <v>112</v>
      </c>
      <c r="E286" s="3" t="s">
        <v>127</v>
      </c>
      <c r="F286" s="3" t="s">
        <v>69</v>
      </c>
      <c r="G286" s="12">
        <v>44625</v>
      </c>
      <c r="H286" s="3">
        <v>18</v>
      </c>
      <c r="I286" s="3">
        <v>4347.6499999999996</v>
      </c>
      <c r="J286" s="2" t="str" cm="1">
        <f t="array" ref="J286">_xlfn.IFS(I286="","review",H286&lt;=0,"review",H286&gt;=100,"review",TRUE,"Ok")</f>
        <v>Ok</v>
      </c>
      <c r="K286" s="3">
        <v>0.32</v>
      </c>
      <c r="L286" s="3">
        <v>2692.01</v>
      </c>
      <c r="M286" s="3" t="s">
        <v>98</v>
      </c>
    </row>
    <row r="287" spans="1:13">
      <c r="A287" s="2" t="s">
        <v>71</v>
      </c>
      <c r="B287" s="2" t="s">
        <v>72</v>
      </c>
      <c r="C287" s="2" t="s">
        <v>73</v>
      </c>
      <c r="D287" s="2" t="s">
        <v>74</v>
      </c>
      <c r="E287" s="2" t="s">
        <v>75</v>
      </c>
      <c r="F287" s="2" t="s">
        <v>69</v>
      </c>
      <c r="G287" s="11">
        <v>44621</v>
      </c>
      <c r="H287" s="2">
        <v>20</v>
      </c>
      <c r="I287" s="2">
        <v>469.36</v>
      </c>
      <c r="J287" s="2" t="str" cm="1">
        <f t="array" ref="J287">_xlfn.IFS(I287="","review",H287&lt;=0,"review",H287&gt;=100,"review",TRUE,"Ok")</f>
        <v>Ok</v>
      </c>
      <c r="K287" s="2">
        <v>0.22</v>
      </c>
      <c r="L287" s="2">
        <v>317.85000000000002</v>
      </c>
      <c r="M287" s="2" t="s">
        <v>76</v>
      </c>
    </row>
    <row r="288" spans="1:13">
      <c r="A288" s="2" t="s">
        <v>323</v>
      </c>
      <c r="B288" s="2" t="s">
        <v>324</v>
      </c>
      <c r="C288" s="2" t="s">
        <v>59</v>
      </c>
      <c r="D288" s="2" t="s">
        <v>213</v>
      </c>
      <c r="E288" s="2" t="s">
        <v>325</v>
      </c>
      <c r="F288" s="2" t="s">
        <v>87</v>
      </c>
      <c r="G288" s="11">
        <v>44621</v>
      </c>
      <c r="H288" s="2">
        <v>3</v>
      </c>
      <c r="I288" s="2">
        <v>3806.26</v>
      </c>
      <c r="J288" s="2" t="str" cm="1">
        <f t="array" ref="J288">_xlfn.IFS(I288="","review",H288&lt;=0,"review",H288&gt;=100,"review",TRUE,"Ok")</f>
        <v>Ok</v>
      </c>
      <c r="K288" s="2">
        <v>0.35</v>
      </c>
      <c r="L288" s="2">
        <v>2574.23</v>
      </c>
      <c r="M288" s="2" t="s">
        <v>70</v>
      </c>
    </row>
    <row r="289" spans="1:13">
      <c r="A289" s="2" t="s">
        <v>552</v>
      </c>
      <c r="B289" s="2" t="s">
        <v>553</v>
      </c>
      <c r="C289" s="2" t="s">
        <v>190</v>
      </c>
      <c r="D289" s="2" t="s">
        <v>294</v>
      </c>
      <c r="E289" s="2" t="s">
        <v>261</v>
      </c>
      <c r="F289" s="2" t="s">
        <v>62</v>
      </c>
      <c r="G289" s="11">
        <v>44614</v>
      </c>
      <c r="H289" s="2">
        <v>2</v>
      </c>
      <c r="I289" s="4"/>
      <c r="J289" s="2" t="str" cm="1">
        <f t="array" ref="J289">_xlfn.IFS(I289="","review",H289&lt;=0,"review",H289&gt;=100,"review",TRUE,"Ok")</f>
        <v>review</v>
      </c>
      <c r="K289" s="2">
        <v>0.1</v>
      </c>
      <c r="L289" s="2">
        <v>580.14</v>
      </c>
      <c r="M289" s="2" t="s">
        <v>76</v>
      </c>
    </row>
    <row r="290" spans="1:13">
      <c r="A290" s="2" t="s">
        <v>477</v>
      </c>
      <c r="B290" s="2" t="s">
        <v>301</v>
      </c>
      <c r="C290" s="2" t="s">
        <v>190</v>
      </c>
      <c r="D290" s="2" t="s">
        <v>60</v>
      </c>
      <c r="E290" s="2" t="s">
        <v>68</v>
      </c>
      <c r="F290" s="2" t="s">
        <v>69</v>
      </c>
      <c r="G290" s="11">
        <v>44613</v>
      </c>
      <c r="H290" s="2">
        <v>999</v>
      </c>
      <c r="I290" s="2">
        <v>4562.46</v>
      </c>
      <c r="J290" s="2" t="str" cm="1">
        <f t="array" ref="J290">_xlfn.IFS(I290="","review",H290&lt;=0,"review",H290&gt;=100,"review",TRUE,"Ok")</f>
        <v>review</v>
      </c>
      <c r="K290" s="2">
        <v>7.0000000000000007E-2</v>
      </c>
      <c r="L290" s="2">
        <v>2721.9</v>
      </c>
      <c r="M290" s="2" t="s">
        <v>98</v>
      </c>
    </row>
    <row r="291" spans="1:13">
      <c r="A291" s="2" t="s">
        <v>404</v>
      </c>
      <c r="B291" s="2" t="s">
        <v>266</v>
      </c>
      <c r="C291" s="2" t="s">
        <v>107</v>
      </c>
      <c r="D291" s="2" t="s">
        <v>196</v>
      </c>
      <c r="E291" s="2" t="s">
        <v>385</v>
      </c>
      <c r="F291" s="2" t="s">
        <v>135</v>
      </c>
      <c r="G291" s="11">
        <v>44606</v>
      </c>
      <c r="H291" s="2">
        <v>10</v>
      </c>
      <c r="I291" s="2">
        <v>2930.42</v>
      </c>
      <c r="J291" s="2" t="str" cm="1">
        <f t="array" ref="J291">_xlfn.IFS(I291="","review",H291&lt;=0,"review",H291&gt;=100,"review",TRUE,"Ok")</f>
        <v>Ok</v>
      </c>
      <c r="K291" s="2">
        <v>0.08</v>
      </c>
      <c r="L291" s="2">
        <v>1644.91</v>
      </c>
      <c r="M291" s="2" t="s">
        <v>98</v>
      </c>
    </row>
    <row r="292" spans="1:13">
      <c r="A292" s="2" t="s">
        <v>531</v>
      </c>
      <c r="B292" s="2" t="s">
        <v>532</v>
      </c>
      <c r="C292" s="3" t="s">
        <v>107</v>
      </c>
      <c r="D292" s="3" t="s">
        <v>269</v>
      </c>
      <c r="E292" s="3" t="s">
        <v>191</v>
      </c>
      <c r="F292" s="3" t="s">
        <v>123</v>
      </c>
      <c r="G292" s="12">
        <v>44605</v>
      </c>
      <c r="H292" s="3">
        <v>10</v>
      </c>
      <c r="I292" s="4"/>
      <c r="J292" s="2" t="str" cm="1">
        <f t="array" ref="J292">_xlfn.IFS(I292="","review",H292&lt;=0,"review",H292&gt;=100,"review",TRUE,"Ok")</f>
        <v>review</v>
      </c>
      <c r="K292" s="3">
        <v>0.01</v>
      </c>
      <c r="L292" s="3">
        <v>475.6</v>
      </c>
      <c r="M292" s="3" t="s">
        <v>98</v>
      </c>
    </row>
    <row r="293" spans="1:13">
      <c r="A293" s="2" t="s">
        <v>559</v>
      </c>
      <c r="B293" s="2" t="s">
        <v>272</v>
      </c>
      <c r="C293" s="2" t="s">
        <v>66</v>
      </c>
      <c r="D293" s="2" t="s">
        <v>74</v>
      </c>
      <c r="E293" s="2" t="s">
        <v>134</v>
      </c>
      <c r="F293" s="2" t="s">
        <v>135</v>
      </c>
      <c r="G293" s="11">
        <v>44594</v>
      </c>
      <c r="H293" s="2">
        <v>6</v>
      </c>
      <c r="I293" s="2">
        <v>692.37</v>
      </c>
      <c r="J293" s="2" t="str" cm="1">
        <f t="array" ref="J293">_xlfn.IFS(I293="","review",H293&lt;=0,"review",H293&gt;=100,"review",TRUE,"Ok")</f>
        <v>Ok</v>
      </c>
      <c r="K293" s="2">
        <v>0.15</v>
      </c>
      <c r="L293" s="2">
        <v>497.42</v>
      </c>
      <c r="M293" s="2" t="s">
        <v>70</v>
      </c>
    </row>
    <row r="294" spans="1:13">
      <c r="A294" s="2" t="s">
        <v>274</v>
      </c>
      <c r="B294" s="2" t="s">
        <v>275</v>
      </c>
      <c r="C294" s="3" t="s">
        <v>59</v>
      </c>
      <c r="D294" s="3" t="s">
        <v>171</v>
      </c>
      <c r="E294" s="3" t="s">
        <v>276</v>
      </c>
      <c r="F294" s="3" t="s">
        <v>87</v>
      </c>
      <c r="G294" s="12">
        <v>44593</v>
      </c>
      <c r="H294" s="3">
        <v>12</v>
      </c>
      <c r="I294" s="3">
        <v>2603.75</v>
      </c>
      <c r="J294" s="2" t="str" cm="1">
        <f t="array" ref="J294">_xlfn.IFS(I294="","review",H294&lt;=0,"review",H294&gt;=100,"review",TRUE,"Ok")</f>
        <v>Ok</v>
      </c>
      <c r="K294" s="3">
        <v>0.2</v>
      </c>
      <c r="L294" s="3">
        <v>1762.36</v>
      </c>
      <c r="M294" s="3" t="s">
        <v>81</v>
      </c>
    </row>
    <row r="295" spans="1:13">
      <c r="A295" s="2" t="s">
        <v>554</v>
      </c>
      <c r="B295" s="2" t="s">
        <v>154</v>
      </c>
      <c r="C295" s="2" t="s">
        <v>120</v>
      </c>
      <c r="D295" s="2" t="s">
        <v>159</v>
      </c>
      <c r="E295" s="2" t="s">
        <v>188</v>
      </c>
      <c r="F295" s="2" t="s">
        <v>135</v>
      </c>
      <c r="G295" s="11">
        <v>44592</v>
      </c>
      <c r="H295" s="2">
        <v>4</v>
      </c>
      <c r="I295" s="2">
        <v>1836.44</v>
      </c>
      <c r="J295" s="2" t="str" cm="1">
        <f t="array" ref="J295">_xlfn.IFS(I295="","review",H295&lt;=0,"review",H295&gt;=100,"review",TRUE,"Ok")</f>
        <v>Ok</v>
      </c>
      <c r="K295" s="2">
        <v>7.0000000000000007E-2</v>
      </c>
      <c r="L295" s="2">
        <v>1181.7</v>
      </c>
      <c r="M295" s="2" t="s">
        <v>98</v>
      </c>
    </row>
    <row r="296" spans="1:13">
      <c r="A296" s="2" t="s">
        <v>93</v>
      </c>
      <c r="B296" s="2" t="s">
        <v>94</v>
      </c>
      <c r="C296" s="2" t="s">
        <v>95</v>
      </c>
      <c r="D296" s="2" t="s">
        <v>96</v>
      </c>
      <c r="E296" s="2" t="s">
        <v>97</v>
      </c>
      <c r="F296" s="2" t="s">
        <v>92</v>
      </c>
      <c r="G296" s="11">
        <v>44590</v>
      </c>
      <c r="H296" s="2">
        <v>13</v>
      </c>
      <c r="I296" s="4"/>
      <c r="J296" s="2" t="str" cm="1">
        <f t="array" ref="J296">_xlfn.IFS(I296="","review",H296&lt;=0,"review",H296&gt;=100,"review",TRUE,"Ok")</f>
        <v>review</v>
      </c>
      <c r="K296" s="2">
        <v>0.2</v>
      </c>
      <c r="L296" s="2">
        <v>446.48</v>
      </c>
      <c r="M296" s="2" t="s">
        <v>98</v>
      </c>
    </row>
    <row r="297" spans="1:13">
      <c r="A297" s="2" t="s">
        <v>461</v>
      </c>
      <c r="B297" s="2" t="s">
        <v>106</v>
      </c>
      <c r="C297" s="3" t="s">
        <v>130</v>
      </c>
      <c r="D297" s="3" t="s">
        <v>159</v>
      </c>
      <c r="E297" s="3" t="s">
        <v>462</v>
      </c>
      <c r="F297" s="3" t="s">
        <v>123</v>
      </c>
      <c r="G297" s="12">
        <v>44590</v>
      </c>
      <c r="H297" s="3">
        <v>19</v>
      </c>
      <c r="I297" s="3">
        <v>943.26</v>
      </c>
      <c r="J297" s="2" t="str" cm="1">
        <f t="array" ref="J297">_xlfn.IFS(I297="","review",H297&lt;=0,"review",H297&gt;=100,"review",TRUE,"Ok")</f>
        <v>Ok</v>
      </c>
      <c r="K297" s="3">
        <v>0.31</v>
      </c>
      <c r="L297" s="3">
        <v>589.74</v>
      </c>
      <c r="M297" s="3" t="s">
        <v>76</v>
      </c>
    </row>
    <row r="298" spans="1:13">
      <c r="A298" s="2" t="s">
        <v>369</v>
      </c>
      <c r="B298" s="2" t="s">
        <v>129</v>
      </c>
      <c r="C298" s="3" t="s">
        <v>167</v>
      </c>
      <c r="D298" s="3" t="s">
        <v>334</v>
      </c>
      <c r="E298" s="3" t="s">
        <v>297</v>
      </c>
      <c r="F298" s="3" t="s">
        <v>198</v>
      </c>
      <c r="G298" s="12">
        <v>44581</v>
      </c>
      <c r="H298" s="3">
        <v>15</v>
      </c>
      <c r="I298" s="3">
        <v>1796.44</v>
      </c>
      <c r="J298" s="2" t="str" cm="1">
        <f t="array" ref="J298">_xlfn.IFS(I298="","review",H298&lt;=0,"review",H298&gt;=100,"review",TRUE,"Ok")</f>
        <v>Ok</v>
      </c>
      <c r="K298" s="3">
        <v>0.01</v>
      </c>
      <c r="L298" s="3">
        <v>1013.81</v>
      </c>
      <c r="M298" s="3" t="s">
        <v>81</v>
      </c>
    </row>
    <row r="299" spans="1:13">
      <c r="A299" s="2" t="s">
        <v>409</v>
      </c>
      <c r="B299" s="2" t="s">
        <v>410</v>
      </c>
      <c r="C299" s="3" t="s">
        <v>190</v>
      </c>
      <c r="D299" s="3" t="s">
        <v>267</v>
      </c>
      <c r="E299" s="3" t="s">
        <v>97</v>
      </c>
      <c r="F299" s="3" t="s">
        <v>92</v>
      </c>
      <c r="G299" s="12">
        <v>44578</v>
      </c>
      <c r="H299" s="3">
        <v>9</v>
      </c>
      <c r="I299" s="3">
        <v>1793.88</v>
      </c>
      <c r="J299" s="2" t="str" cm="1">
        <f t="array" ref="J299">_xlfn.IFS(I299="","review",H299&lt;=0,"review",H299&gt;=100,"review",TRUE,"Ok")</f>
        <v>Ok</v>
      </c>
      <c r="K299" s="3">
        <v>7.0000000000000007E-2</v>
      </c>
      <c r="L299" s="3">
        <v>834.98</v>
      </c>
      <c r="M299" s="3" t="s">
        <v>63</v>
      </c>
    </row>
    <row r="300" spans="1:13">
      <c r="A300" s="2" t="s">
        <v>192</v>
      </c>
      <c r="B300" s="2" t="s">
        <v>129</v>
      </c>
      <c r="C300" s="2" t="s">
        <v>84</v>
      </c>
      <c r="D300" s="2" t="s">
        <v>193</v>
      </c>
      <c r="E300" s="2" t="s">
        <v>194</v>
      </c>
      <c r="F300" s="2" t="s">
        <v>87</v>
      </c>
      <c r="G300" s="11">
        <v>44567</v>
      </c>
      <c r="H300" s="2">
        <v>3</v>
      </c>
      <c r="I300" s="2">
        <v>3479.59</v>
      </c>
      <c r="J300" s="2" t="str" cm="1">
        <f t="array" ref="J300">_xlfn.IFS(I300="","review",H300&lt;=0,"review",H300&gt;=100,"review",TRUE,"Ok")</f>
        <v>Ok</v>
      </c>
      <c r="K300" s="2">
        <v>0.12</v>
      </c>
      <c r="L300" s="2">
        <v>1831.44</v>
      </c>
      <c r="M300" s="2" t="s">
        <v>70</v>
      </c>
    </row>
    <row r="301" spans="1:13">
      <c r="A301" s="2" t="s">
        <v>544</v>
      </c>
      <c r="B301" s="2" t="s">
        <v>545</v>
      </c>
      <c r="C301" s="3" t="s">
        <v>190</v>
      </c>
      <c r="D301" s="3" t="s">
        <v>269</v>
      </c>
      <c r="E301" s="3" t="s">
        <v>188</v>
      </c>
      <c r="F301" s="3" t="s">
        <v>135</v>
      </c>
      <c r="G301" s="12">
        <v>44567</v>
      </c>
      <c r="H301" s="3">
        <v>19</v>
      </c>
      <c r="I301" s="3">
        <v>3562.34</v>
      </c>
      <c r="J301" s="2" t="str" cm="1">
        <f t="array" ref="J301">_xlfn.IFS(I301="","review",H301&lt;=0,"review",H301&gt;=100,"review",TRUE,"Ok")</f>
        <v>Ok</v>
      </c>
      <c r="K301" s="3">
        <v>0.28000000000000003</v>
      </c>
      <c r="L301" s="3">
        <v>2297.6</v>
      </c>
      <c r="M301" s="3" t="s">
        <v>76</v>
      </c>
    </row>
  </sheetData>
  <autoFilter ref="C1:C301" xr:uid="{78D42970-113D-4D87-A9DD-24B9F8DA6612}"/>
  <conditionalFormatting sqref="H1:H1048576">
    <cfRule type="cellIs" dxfId="1" priority="1" operator="lessThan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444FF"/>
  </sheetPr>
  <dimension ref="A1:O151"/>
  <sheetViews>
    <sheetView zoomScale="79" workbookViewId="0">
      <pane ySplit="1" topLeftCell="A2" activePane="bottomLeft" state="frozen"/>
      <selection activeCell="B26" sqref="B26"/>
      <selection pane="bottomLeft" activeCell="L1" sqref="L1"/>
    </sheetView>
  </sheetViews>
  <sheetFormatPr defaultColWidth="9" defaultRowHeight="14.5"/>
  <cols>
    <col min="1" max="1" width="14" customWidth="1"/>
    <col min="2" max="3" width="13" customWidth="1"/>
    <col min="4" max="5" width="30" customWidth="1"/>
    <col min="6" max="7" width="16" style="16" customWidth="1"/>
    <col min="8" max="8" width="16" customWidth="1"/>
    <col min="9" max="9" width="13" customWidth="1"/>
    <col min="10" max="10" width="15" customWidth="1"/>
    <col min="11" max="11" width="20" customWidth="1"/>
    <col min="12" max="12" width="21.7265625" bestFit="1" customWidth="1"/>
    <col min="13" max="13" width="17" customWidth="1"/>
    <col min="14" max="14" width="7" customWidth="1"/>
  </cols>
  <sheetData>
    <row r="1" spans="1:15" ht="30" customHeight="1">
      <c r="A1" s="1" t="s">
        <v>46</v>
      </c>
      <c r="B1" s="1" t="s">
        <v>676</v>
      </c>
      <c r="C1" s="1" t="s">
        <v>677</v>
      </c>
      <c r="D1" s="1" t="s">
        <v>678</v>
      </c>
      <c r="E1" s="1" t="s">
        <v>1265</v>
      </c>
      <c r="F1" s="14" t="s">
        <v>679</v>
      </c>
      <c r="G1" s="14" t="s">
        <v>1267</v>
      </c>
      <c r="H1" s="1" t="s">
        <v>1266</v>
      </c>
      <c r="I1" s="1" t="s">
        <v>600</v>
      </c>
      <c r="J1" s="1" t="s">
        <v>680</v>
      </c>
      <c r="K1" s="1" t="s">
        <v>681</v>
      </c>
      <c r="L1" s="1" t="s">
        <v>682</v>
      </c>
      <c r="M1" s="1" t="s">
        <v>683</v>
      </c>
      <c r="N1" s="1" t="s">
        <v>684</v>
      </c>
      <c r="O1" s="1" t="s">
        <v>685</v>
      </c>
    </row>
    <row r="2" spans="1:15">
      <c r="A2" s="2" t="s">
        <v>354</v>
      </c>
      <c r="B2" s="2" t="s">
        <v>686</v>
      </c>
      <c r="C2" s="2" t="s">
        <v>687</v>
      </c>
      <c r="D2" s="2" t="s">
        <v>688</v>
      </c>
      <c r="E2" s="2" t="str">
        <f>IF(ISNUMBER(FIND("@",D2)),"OK","INVALID")</f>
        <v>OK</v>
      </c>
      <c r="F2" s="13" t="s">
        <v>689</v>
      </c>
      <c r="G2" s="13" t="str">
        <f>RIGHT(F2,10)</f>
        <v>9270498955</v>
      </c>
      <c r="H2" s="2" t="str">
        <f>IF((LEFT(F2,3)="+91"),"yes","no")</f>
        <v>yes</v>
      </c>
      <c r="I2" s="2" t="s">
        <v>622</v>
      </c>
      <c r="J2" s="2" t="s">
        <v>690</v>
      </c>
      <c r="K2" s="2" t="s">
        <v>691</v>
      </c>
      <c r="L2" s="2">
        <v>17</v>
      </c>
      <c r="M2" s="2">
        <v>30561.4</v>
      </c>
      <c r="N2" s="2">
        <v>31</v>
      </c>
      <c r="O2" t="s">
        <v>720</v>
      </c>
    </row>
    <row r="3" spans="1:15">
      <c r="A3" s="3" t="s">
        <v>692</v>
      </c>
      <c r="B3" s="3" t="s">
        <v>693</v>
      </c>
      <c r="C3" s="3" t="s">
        <v>694</v>
      </c>
      <c r="D3" s="3" t="s">
        <v>695</v>
      </c>
      <c r="E3" s="2" t="str">
        <f t="shared" ref="E3" si="0">IF(ISNUMBER(FIND("@",D3)),"OK","INVALID")</f>
        <v>OK</v>
      </c>
      <c r="F3" s="15" t="s">
        <v>696</v>
      </c>
      <c r="G3" s="13" t="str">
        <f t="shared" ref="G3:G66" si="1">RIGHT(F3,10)</f>
        <v>8094407076</v>
      </c>
      <c r="H3" s="2" t="str">
        <f t="shared" ref="H3" si="2">IF((LEFT(F3,3)="+91"),"yes","no")</f>
        <v>yes</v>
      </c>
      <c r="I3" s="2" t="s">
        <v>613</v>
      </c>
      <c r="J3" s="3" t="s">
        <v>697</v>
      </c>
      <c r="K3" s="3" t="s">
        <v>698</v>
      </c>
      <c r="L3" s="3">
        <v>68</v>
      </c>
      <c r="M3" s="2">
        <v>98969.12</v>
      </c>
      <c r="N3" s="3">
        <v>51</v>
      </c>
      <c r="O3" t="s">
        <v>731</v>
      </c>
    </row>
    <row r="4" spans="1:15">
      <c r="A4" s="3" t="s">
        <v>178</v>
      </c>
      <c r="B4" s="3" t="s">
        <v>1006</v>
      </c>
      <c r="C4" s="3" t="s">
        <v>875</v>
      </c>
      <c r="D4" s="3" t="s">
        <v>1163</v>
      </c>
      <c r="E4" s="2" t="str">
        <f t="shared" ref="E4:E35" si="3">IF(ISNUMBER(FIND("@",D4)),"OK","INVALID")</f>
        <v>OK</v>
      </c>
      <c r="F4" s="15" t="s">
        <v>1164</v>
      </c>
      <c r="G4" s="13" t="str">
        <f t="shared" si="1"/>
        <v>6942160389</v>
      </c>
      <c r="H4" s="2" t="str">
        <f t="shared" ref="H4:H35" si="4">IF((LEFT(F4,3)="+91"),"yes","no")</f>
        <v>yes</v>
      </c>
      <c r="I4" s="2" t="s">
        <v>632</v>
      </c>
      <c r="J4" s="3" t="s">
        <v>703</v>
      </c>
      <c r="K4" s="3" t="s">
        <v>1165</v>
      </c>
      <c r="L4" s="3">
        <v>69</v>
      </c>
      <c r="M4" s="2">
        <v>16451.38</v>
      </c>
      <c r="N4" s="3">
        <v>23</v>
      </c>
      <c r="O4" t="s">
        <v>731</v>
      </c>
    </row>
    <row r="5" spans="1:15">
      <c r="A5" s="3" t="s">
        <v>518</v>
      </c>
      <c r="B5" s="3" t="s">
        <v>705</v>
      </c>
      <c r="C5" s="3" t="s">
        <v>706</v>
      </c>
      <c r="D5" s="3" t="s">
        <v>707</v>
      </c>
      <c r="E5" s="2" t="str">
        <f t="shared" si="3"/>
        <v>OK</v>
      </c>
      <c r="F5" s="15" t="s">
        <v>708</v>
      </c>
      <c r="G5" s="13" t="str">
        <f t="shared" si="1"/>
        <v>6269986628</v>
      </c>
      <c r="H5" s="2" t="str">
        <f t="shared" si="4"/>
        <v>yes</v>
      </c>
      <c r="I5" s="2" t="s">
        <v>632</v>
      </c>
      <c r="J5" s="3" t="s">
        <v>690</v>
      </c>
      <c r="K5" s="3" t="s">
        <v>709</v>
      </c>
      <c r="L5" s="3">
        <v>22</v>
      </c>
      <c r="M5" s="2">
        <v>62659.55</v>
      </c>
      <c r="N5" s="3">
        <v>24</v>
      </c>
      <c r="O5" t="s">
        <v>720</v>
      </c>
    </row>
    <row r="6" spans="1:15">
      <c r="A6" s="2" t="s">
        <v>395</v>
      </c>
      <c r="B6" s="2" t="s">
        <v>693</v>
      </c>
      <c r="C6" s="2" t="s">
        <v>710</v>
      </c>
      <c r="D6" s="2" t="s">
        <v>711</v>
      </c>
      <c r="E6" s="2" t="str">
        <f t="shared" si="3"/>
        <v>INVALID</v>
      </c>
      <c r="F6" s="13" t="s">
        <v>712</v>
      </c>
      <c r="G6" s="13" t="str">
        <f t="shared" si="1"/>
        <v>7135405173</v>
      </c>
      <c r="H6" s="2" t="str">
        <f t="shared" si="4"/>
        <v>yes</v>
      </c>
      <c r="I6" s="2" t="s">
        <v>713</v>
      </c>
      <c r="J6" s="2" t="s">
        <v>697</v>
      </c>
      <c r="K6" s="2" t="s">
        <v>714</v>
      </c>
      <c r="L6" s="2">
        <v>4</v>
      </c>
      <c r="M6" s="2">
        <v>159992.74</v>
      </c>
      <c r="N6" s="2">
        <v>64</v>
      </c>
      <c r="O6" t="s">
        <v>720</v>
      </c>
    </row>
    <row r="7" spans="1:15">
      <c r="A7" s="3" t="s">
        <v>715</v>
      </c>
      <c r="B7" s="3" t="s">
        <v>716</v>
      </c>
      <c r="C7" s="3" t="s">
        <v>700</v>
      </c>
      <c r="D7" s="3" t="s">
        <v>717</v>
      </c>
      <c r="E7" s="2" t="str">
        <f t="shared" si="3"/>
        <v>OK</v>
      </c>
      <c r="F7" s="15" t="s">
        <v>718</v>
      </c>
      <c r="G7" s="13" t="str">
        <f t="shared" si="1"/>
        <v>7586712032</v>
      </c>
      <c r="H7" s="2" t="str">
        <f t="shared" si="4"/>
        <v>yes</v>
      </c>
      <c r="I7" s="2" t="s">
        <v>713</v>
      </c>
      <c r="J7" s="3" t="s">
        <v>690</v>
      </c>
      <c r="K7" s="3" t="s">
        <v>719</v>
      </c>
      <c r="L7" s="3">
        <v>5</v>
      </c>
      <c r="M7" s="2">
        <v>199593.71</v>
      </c>
      <c r="N7" s="4">
        <f>MEDIAN(N14:N74)</f>
        <v>41</v>
      </c>
      <c r="O7" t="s">
        <v>720</v>
      </c>
    </row>
    <row r="8" spans="1:15">
      <c r="A8" s="2" t="s">
        <v>497</v>
      </c>
      <c r="B8" s="2" t="s">
        <v>721</v>
      </c>
      <c r="C8" s="2" t="s">
        <v>722</v>
      </c>
      <c r="D8" s="2" t="s">
        <v>723</v>
      </c>
      <c r="E8" s="2" t="str">
        <f t="shared" si="3"/>
        <v>OK</v>
      </c>
      <c r="F8" s="13" t="s">
        <v>724</v>
      </c>
      <c r="G8" s="13" t="str">
        <f t="shared" si="1"/>
        <v>7005102559</v>
      </c>
      <c r="H8" s="2" t="str">
        <f t="shared" si="4"/>
        <v>yes</v>
      </c>
      <c r="I8" s="2" t="s">
        <v>610</v>
      </c>
      <c r="J8" s="2" t="s">
        <v>697</v>
      </c>
      <c r="K8" s="2" t="s">
        <v>725</v>
      </c>
      <c r="L8" s="2">
        <v>85</v>
      </c>
      <c r="M8" s="2">
        <v>93005.05</v>
      </c>
      <c r="N8" s="2">
        <v>52</v>
      </c>
      <c r="O8" t="s">
        <v>731</v>
      </c>
    </row>
    <row r="9" spans="1:15">
      <c r="A9" s="2" t="s">
        <v>100</v>
      </c>
      <c r="B9" s="2" t="s">
        <v>699</v>
      </c>
      <c r="C9" s="2" t="s">
        <v>700</v>
      </c>
      <c r="D9" s="2" t="s">
        <v>701</v>
      </c>
      <c r="E9" s="2" t="str">
        <f t="shared" si="3"/>
        <v>OK</v>
      </c>
      <c r="F9" s="13" t="s">
        <v>702</v>
      </c>
      <c r="G9" s="13" t="str">
        <f t="shared" si="1"/>
        <v>6995358283</v>
      </c>
      <c r="H9" s="2" t="str">
        <f t="shared" si="4"/>
        <v>yes</v>
      </c>
      <c r="I9" s="2" t="s">
        <v>626</v>
      </c>
      <c r="J9" s="2" t="s">
        <v>703</v>
      </c>
      <c r="K9" s="2" t="s">
        <v>704</v>
      </c>
      <c r="L9" s="2">
        <v>108</v>
      </c>
      <c r="M9" s="2">
        <v>68711.61</v>
      </c>
      <c r="N9" s="2">
        <v>24</v>
      </c>
      <c r="O9" t="s">
        <v>731</v>
      </c>
    </row>
    <row r="10" spans="1:15">
      <c r="A10" s="2" t="s">
        <v>440</v>
      </c>
      <c r="B10" s="2" t="s">
        <v>747</v>
      </c>
      <c r="C10" s="2" t="s">
        <v>837</v>
      </c>
      <c r="D10" s="2" t="s">
        <v>1147</v>
      </c>
      <c r="E10" s="2" t="str">
        <f t="shared" si="3"/>
        <v>OK</v>
      </c>
      <c r="F10" s="13" t="s">
        <v>1148</v>
      </c>
      <c r="G10" s="13" t="str">
        <f t="shared" si="1"/>
        <v>8605008864</v>
      </c>
      <c r="H10" s="2" t="str">
        <f t="shared" si="4"/>
        <v>yes</v>
      </c>
      <c r="I10" s="2" t="s">
        <v>635</v>
      </c>
      <c r="J10" s="2" t="s">
        <v>736</v>
      </c>
      <c r="K10" s="2" t="s">
        <v>1149</v>
      </c>
      <c r="L10" s="2">
        <v>25</v>
      </c>
      <c r="M10" s="2">
        <v>14639.36</v>
      </c>
      <c r="N10" s="2">
        <v>20</v>
      </c>
      <c r="O10" t="s">
        <v>720</v>
      </c>
    </row>
    <row r="11" spans="1:15">
      <c r="A11" s="3" t="s">
        <v>397</v>
      </c>
      <c r="B11" s="3" t="s">
        <v>716</v>
      </c>
      <c r="C11" s="3" t="s">
        <v>775</v>
      </c>
      <c r="D11" s="3" t="s">
        <v>824</v>
      </c>
      <c r="E11" s="2" t="str">
        <f t="shared" si="3"/>
        <v>OK</v>
      </c>
      <c r="F11" s="15" t="s">
        <v>825</v>
      </c>
      <c r="G11" s="13" t="str">
        <f t="shared" si="1"/>
        <v>7130933907</v>
      </c>
      <c r="H11" s="2" t="str">
        <f t="shared" si="4"/>
        <v>yes</v>
      </c>
      <c r="I11" s="2" t="s">
        <v>713</v>
      </c>
      <c r="J11" s="3" t="s">
        <v>703</v>
      </c>
      <c r="K11" s="3" t="s">
        <v>826</v>
      </c>
      <c r="L11" s="3">
        <v>73</v>
      </c>
      <c r="M11" s="2">
        <v>136447.74</v>
      </c>
      <c r="N11" s="3">
        <v>24</v>
      </c>
      <c r="O11" t="s">
        <v>720</v>
      </c>
    </row>
    <row r="12" spans="1:15">
      <c r="A12" s="3" t="s">
        <v>212</v>
      </c>
      <c r="B12" s="3" t="s">
        <v>771</v>
      </c>
      <c r="C12" s="3" t="s">
        <v>722</v>
      </c>
      <c r="D12" s="3" t="s">
        <v>1169</v>
      </c>
      <c r="E12" s="2" t="str">
        <f t="shared" si="3"/>
        <v>OK</v>
      </c>
      <c r="F12" s="15" t="s">
        <v>1170</v>
      </c>
      <c r="G12" s="13" t="str">
        <f t="shared" si="1"/>
        <v>7764230206</v>
      </c>
      <c r="H12" s="2" t="str">
        <f t="shared" si="4"/>
        <v>yes</v>
      </c>
      <c r="I12" s="2" t="s">
        <v>606</v>
      </c>
      <c r="J12" s="3" t="s">
        <v>736</v>
      </c>
      <c r="K12" s="3" t="s">
        <v>1171</v>
      </c>
      <c r="L12" s="3">
        <v>24</v>
      </c>
      <c r="M12" s="2">
        <v>12609.69</v>
      </c>
      <c r="N12" s="3">
        <v>21</v>
      </c>
      <c r="O12" t="s">
        <v>731</v>
      </c>
    </row>
    <row r="13" spans="1:15">
      <c r="A13" s="2" t="s">
        <v>400</v>
      </c>
      <c r="B13" s="2" t="s">
        <v>699</v>
      </c>
      <c r="C13" s="2" t="s">
        <v>687</v>
      </c>
      <c r="D13" s="2" t="s">
        <v>854</v>
      </c>
      <c r="E13" s="2" t="str">
        <f t="shared" si="3"/>
        <v>OK</v>
      </c>
      <c r="F13" s="13" t="s">
        <v>855</v>
      </c>
      <c r="G13" s="13" t="str">
        <f t="shared" si="1"/>
        <v>8524061336</v>
      </c>
      <c r="H13" s="2" t="str">
        <f t="shared" si="4"/>
        <v>yes</v>
      </c>
      <c r="I13" s="2" t="s">
        <v>622</v>
      </c>
      <c r="J13" s="2" t="s">
        <v>736</v>
      </c>
      <c r="K13" s="2" t="s">
        <v>856</v>
      </c>
      <c r="L13" s="2">
        <v>62</v>
      </c>
      <c r="M13" s="2">
        <v>40145.360000000001</v>
      </c>
      <c r="N13" s="2">
        <v>28</v>
      </c>
      <c r="O13" t="s">
        <v>731</v>
      </c>
    </row>
    <row r="14" spans="1:15">
      <c r="A14" s="2" t="s">
        <v>389</v>
      </c>
      <c r="B14" s="2" t="s">
        <v>743</v>
      </c>
      <c r="C14" s="2" t="s">
        <v>751</v>
      </c>
      <c r="D14" s="2" t="s">
        <v>752</v>
      </c>
      <c r="E14" s="2" t="str">
        <f t="shared" si="3"/>
        <v>OK</v>
      </c>
      <c r="F14" s="13" t="s">
        <v>753</v>
      </c>
      <c r="G14" s="13" t="str">
        <f t="shared" si="1"/>
        <v>9399296772</v>
      </c>
      <c r="H14" s="2" t="str">
        <f t="shared" si="4"/>
        <v>yes</v>
      </c>
      <c r="I14" s="2" t="s">
        <v>606</v>
      </c>
      <c r="J14" s="2" t="s">
        <v>690</v>
      </c>
      <c r="K14" s="2" t="s">
        <v>754</v>
      </c>
      <c r="L14" s="2">
        <v>61</v>
      </c>
      <c r="M14" s="2">
        <v>155242.76</v>
      </c>
      <c r="N14" s="2">
        <v>33</v>
      </c>
      <c r="O14" t="s">
        <v>731</v>
      </c>
    </row>
    <row r="15" spans="1:15">
      <c r="A15" s="3" t="s">
        <v>89</v>
      </c>
      <c r="B15" s="3" t="s">
        <v>755</v>
      </c>
      <c r="C15" s="3" t="s">
        <v>727</v>
      </c>
      <c r="D15" s="3" t="s">
        <v>756</v>
      </c>
      <c r="E15" s="2" t="str">
        <f t="shared" si="3"/>
        <v>OK</v>
      </c>
      <c r="F15" s="15" t="s">
        <v>757</v>
      </c>
      <c r="G15" s="13" t="str">
        <f t="shared" si="1"/>
        <v>7551562813</v>
      </c>
      <c r="H15" s="2" t="str">
        <f t="shared" si="4"/>
        <v>yes</v>
      </c>
      <c r="I15" s="2" t="s">
        <v>617</v>
      </c>
      <c r="J15" s="3" t="s">
        <v>697</v>
      </c>
      <c r="K15" s="3" t="s">
        <v>758</v>
      </c>
      <c r="L15" s="3">
        <v>60</v>
      </c>
      <c r="M15" s="2">
        <v>14741.25</v>
      </c>
      <c r="N15" s="3">
        <v>54</v>
      </c>
      <c r="O15" t="s">
        <v>720</v>
      </c>
    </row>
    <row r="16" spans="1:15">
      <c r="A16" s="2" t="s">
        <v>569</v>
      </c>
      <c r="B16" s="2" t="s">
        <v>743</v>
      </c>
      <c r="C16" s="2" t="s">
        <v>759</v>
      </c>
      <c r="D16" s="2" t="s">
        <v>760</v>
      </c>
      <c r="E16" s="2" t="str">
        <f t="shared" si="3"/>
        <v>OK</v>
      </c>
      <c r="F16" s="13" t="s">
        <v>761</v>
      </c>
      <c r="G16" s="13" t="str">
        <f t="shared" si="1"/>
        <v>7666847218</v>
      </c>
      <c r="H16" s="2" t="str">
        <f t="shared" si="4"/>
        <v>yes</v>
      </c>
      <c r="I16" s="2" t="s">
        <v>635</v>
      </c>
      <c r="J16" s="2" t="s">
        <v>697</v>
      </c>
      <c r="K16" s="2" t="s">
        <v>762</v>
      </c>
      <c r="L16" s="2">
        <v>112</v>
      </c>
      <c r="M16" s="2">
        <v>94294.28</v>
      </c>
      <c r="N16" s="2">
        <v>58</v>
      </c>
      <c r="O16" t="s">
        <v>731</v>
      </c>
    </row>
    <row r="17" spans="1:15">
      <c r="A17" s="3" t="s">
        <v>275</v>
      </c>
      <c r="B17" s="3" t="s">
        <v>763</v>
      </c>
      <c r="C17" s="3" t="s">
        <v>764</v>
      </c>
      <c r="D17" s="3" t="s">
        <v>765</v>
      </c>
      <c r="E17" s="2" t="str">
        <f t="shared" si="3"/>
        <v>OK</v>
      </c>
      <c r="F17" s="15" t="s">
        <v>766</v>
      </c>
      <c r="G17" s="13" t="str">
        <f t="shared" si="1"/>
        <v>8017235435</v>
      </c>
      <c r="H17" s="2" t="str">
        <f t="shared" si="4"/>
        <v>yes</v>
      </c>
      <c r="I17" s="2" t="s">
        <v>635</v>
      </c>
      <c r="J17" s="3" t="s">
        <v>697</v>
      </c>
      <c r="K17" s="3" t="s">
        <v>767</v>
      </c>
      <c r="L17" s="3">
        <v>70</v>
      </c>
      <c r="M17" s="2">
        <v>38842.36</v>
      </c>
      <c r="N17" s="3">
        <v>29</v>
      </c>
      <c r="O17" t="s">
        <v>731</v>
      </c>
    </row>
    <row r="18" spans="1:15">
      <c r="A18" s="3" t="s">
        <v>364</v>
      </c>
      <c r="B18" s="3" t="s">
        <v>705</v>
      </c>
      <c r="C18" s="3" t="s">
        <v>800</v>
      </c>
      <c r="D18" s="3" t="s">
        <v>1049</v>
      </c>
      <c r="E18" s="2" t="str">
        <f t="shared" si="3"/>
        <v>OK</v>
      </c>
      <c r="F18" s="15" t="s">
        <v>1050</v>
      </c>
      <c r="G18" s="13" t="str">
        <f t="shared" si="1"/>
        <v>6549262370</v>
      </c>
      <c r="H18" s="2" t="str">
        <f t="shared" si="4"/>
        <v>yes</v>
      </c>
      <c r="I18" s="2" t="s">
        <v>610</v>
      </c>
      <c r="J18" s="3" t="s">
        <v>703</v>
      </c>
      <c r="K18" s="3" t="s">
        <v>1051</v>
      </c>
      <c r="L18" s="3">
        <v>67</v>
      </c>
      <c r="M18" s="2">
        <v>4234.6099999999997</v>
      </c>
      <c r="N18" s="3">
        <v>26</v>
      </c>
      <c r="O18" t="s">
        <v>731</v>
      </c>
    </row>
    <row r="19" spans="1:15">
      <c r="A19" s="2" t="s">
        <v>106</v>
      </c>
      <c r="B19" s="2" t="s">
        <v>763</v>
      </c>
      <c r="C19" s="2" t="s">
        <v>739</v>
      </c>
      <c r="D19" s="2" t="s">
        <v>834</v>
      </c>
      <c r="E19" s="2" t="str">
        <f t="shared" si="3"/>
        <v>OK</v>
      </c>
      <c r="F19" s="13" t="s">
        <v>835</v>
      </c>
      <c r="G19" s="13" t="str">
        <f t="shared" si="1"/>
        <v>8448819206</v>
      </c>
      <c r="H19" s="2" t="str">
        <f t="shared" si="4"/>
        <v>yes</v>
      </c>
      <c r="I19" s="2" t="s">
        <v>629</v>
      </c>
      <c r="J19" s="2" t="s">
        <v>703</v>
      </c>
      <c r="K19" s="2" t="s">
        <v>836</v>
      </c>
      <c r="L19" s="2">
        <v>82</v>
      </c>
      <c r="M19" s="2">
        <v>126018.27</v>
      </c>
      <c r="N19" s="2">
        <v>29</v>
      </c>
      <c r="O19" t="s">
        <v>731</v>
      </c>
    </row>
    <row r="20" spans="1:15">
      <c r="A20" s="3" t="s">
        <v>1113</v>
      </c>
      <c r="B20" s="3" t="s">
        <v>827</v>
      </c>
      <c r="C20" s="3" t="s">
        <v>739</v>
      </c>
      <c r="D20" s="3" t="s">
        <v>1114</v>
      </c>
      <c r="E20" s="2" t="str">
        <f t="shared" si="3"/>
        <v>OK</v>
      </c>
      <c r="F20" s="15" t="s">
        <v>1115</v>
      </c>
      <c r="G20" s="13" t="str">
        <f t="shared" si="1"/>
        <v>8738568701</v>
      </c>
      <c r="H20" s="2" t="str">
        <f t="shared" si="4"/>
        <v>yes</v>
      </c>
      <c r="I20" s="2" t="s">
        <v>610</v>
      </c>
      <c r="J20" s="3" t="s">
        <v>703</v>
      </c>
      <c r="K20" s="3" t="s">
        <v>1116</v>
      </c>
      <c r="L20" s="3">
        <v>18</v>
      </c>
      <c r="M20" s="2">
        <v>40814.769999999997</v>
      </c>
      <c r="N20" s="3">
        <v>29</v>
      </c>
      <c r="O20" t="s">
        <v>731</v>
      </c>
    </row>
    <row r="21" spans="1:15">
      <c r="A21" s="3" t="s">
        <v>738</v>
      </c>
      <c r="B21" s="3" t="s">
        <v>732</v>
      </c>
      <c r="C21" s="3" t="s">
        <v>739</v>
      </c>
      <c r="D21" s="3" t="s">
        <v>740</v>
      </c>
      <c r="E21" s="2" t="str">
        <f t="shared" si="3"/>
        <v>OK</v>
      </c>
      <c r="F21" s="15" t="s">
        <v>741</v>
      </c>
      <c r="G21" s="13" t="str">
        <f t="shared" si="1"/>
        <v>6888087890</v>
      </c>
      <c r="H21" s="2" t="str">
        <f t="shared" si="4"/>
        <v>yes</v>
      </c>
      <c r="I21" s="2" t="s">
        <v>629</v>
      </c>
      <c r="J21" s="3" t="s">
        <v>703</v>
      </c>
      <c r="K21" s="3" t="s">
        <v>742</v>
      </c>
      <c r="L21" s="3">
        <v>118</v>
      </c>
      <c r="M21" s="2">
        <v>168787.49</v>
      </c>
      <c r="N21" s="3">
        <v>30</v>
      </c>
      <c r="O21" t="s">
        <v>731</v>
      </c>
    </row>
    <row r="22" spans="1:15">
      <c r="A22" s="2" t="s">
        <v>783</v>
      </c>
      <c r="B22" s="2" t="s">
        <v>693</v>
      </c>
      <c r="C22" s="2" t="s">
        <v>687</v>
      </c>
      <c r="D22" s="2" t="s">
        <v>784</v>
      </c>
      <c r="E22" s="2" t="str">
        <f t="shared" si="3"/>
        <v>OK</v>
      </c>
      <c r="F22" s="13" t="s">
        <v>785</v>
      </c>
      <c r="G22" s="13" t="str">
        <f t="shared" si="1"/>
        <v>6171389355</v>
      </c>
      <c r="H22" s="2" t="str">
        <f t="shared" si="4"/>
        <v>yes</v>
      </c>
      <c r="I22" s="2" t="s">
        <v>613</v>
      </c>
      <c r="J22" s="2" t="s">
        <v>690</v>
      </c>
      <c r="K22" s="2" t="s">
        <v>786</v>
      </c>
      <c r="L22" s="2">
        <v>18</v>
      </c>
      <c r="M22" s="2">
        <v>153745.06</v>
      </c>
      <c r="N22" s="2">
        <v>65</v>
      </c>
      <c r="O22" t="s">
        <v>720</v>
      </c>
    </row>
    <row r="23" spans="1:15">
      <c r="A23" s="3" t="s">
        <v>154</v>
      </c>
      <c r="B23" s="3" t="s">
        <v>699</v>
      </c>
      <c r="C23" s="3" t="s">
        <v>751</v>
      </c>
      <c r="D23" s="3" t="s">
        <v>787</v>
      </c>
      <c r="E23" s="2" t="str">
        <f t="shared" si="3"/>
        <v>OK</v>
      </c>
      <c r="F23" s="15" t="s">
        <v>788</v>
      </c>
      <c r="G23" s="13" t="str">
        <f t="shared" si="1"/>
        <v>8785392585</v>
      </c>
      <c r="H23" s="2" t="str">
        <f t="shared" si="4"/>
        <v>yes</v>
      </c>
      <c r="I23" s="2" t="s">
        <v>632</v>
      </c>
      <c r="J23" s="3" t="s">
        <v>690</v>
      </c>
      <c r="K23" s="3" t="s">
        <v>789</v>
      </c>
      <c r="L23" s="3">
        <v>90</v>
      </c>
      <c r="M23" s="2">
        <v>50167.99</v>
      </c>
      <c r="N23" s="3">
        <v>24</v>
      </c>
      <c r="O23" t="s">
        <v>720</v>
      </c>
    </row>
    <row r="24" spans="1:15">
      <c r="A24" s="2" t="s">
        <v>241</v>
      </c>
      <c r="B24" s="2" t="s">
        <v>732</v>
      </c>
      <c r="C24" s="2" t="s">
        <v>733</v>
      </c>
      <c r="D24" s="2" t="s">
        <v>734</v>
      </c>
      <c r="E24" s="2" t="str">
        <f t="shared" si="3"/>
        <v>OK</v>
      </c>
      <c r="F24" s="13" t="s">
        <v>735</v>
      </c>
      <c r="G24" s="13" t="str">
        <f t="shared" si="1"/>
        <v>8871553289</v>
      </c>
      <c r="H24" s="2" t="str">
        <f t="shared" si="4"/>
        <v>yes</v>
      </c>
      <c r="I24" s="2" t="s">
        <v>629</v>
      </c>
      <c r="J24" s="2" t="s">
        <v>736</v>
      </c>
      <c r="K24" s="2" t="s">
        <v>737</v>
      </c>
      <c r="L24" s="2">
        <v>111</v>
      </c>
      <c r="M24" s="2">
        <v>66384.61</v>
      </c>
      <c r="N24" s="2">
        <v>30</v>
      </c>
      <c r="O24" t="s">
        <v>731</v>
      </c>
    </row>
    <row r="25" spans="1:15">
      <c r="A25" s="2" t="s">
        <v>140</v>
      </c>
      <c r="B25" s="2" t="s">
        <v>885</v>
      </c>
      <c r="C25" s="2" t="s">
        <v>710</v>
      </c>
      <c r="D25" s="2" t="s">
        <v>1064</v>
      </c>
      <c r="E25" s="2" t="str">
        <f t="shared" si="3"/>
        <v>OK</v>
      </c>
      <c r="F25" s="13" t="s">
        <v>1065</v>
      </c>
      <c r="G25" s="13" t="str">
        <f t="shared" si="1"/>
        <v>8703855522</v>
      </c>
      <c r="H25" s="2" t="str">
        <f t="shared" si="4"/>
        <v>yes</v>
      </c>
      <c r="I25" s="2" t="s">
        <v>617</v>
      </c>
      <c r="J25" s="2" t="s">
        <v>736</v>
      </c>
      <c r="K25" s="2" t="s">
        <v>1066</v>
      </c>
      <c r="L25" s="2">
        <v>104</v>
      </c>
      <c r="M25" s="2">
        <v>131828.74</v>
      </c>
      <c r="N25" s="2">
        <v>32</v>
      </c>
      <c r="O25" t="s">
        <v>731</v>
      </c>
    </row>
    <row r="26" spans="1:15">
      <c r="A26" s="2" t="s">
        <v>296</v>
      </c>
      <c r="B26" s="2" t="s">
        <v>747</v>
      </c>
      <c r="C26" s="2" t="s">
        <v>733</v>
      </c>
      <c r="D26" s="2" t="s">
        <v>797</v>
      </c>
      <c r="E26" s="2" t="str">
        <f t="shared" si="3"/>
        <v>OK</v>
      </c>
      <c r="F26" s="13" t="s">
        <v>798</v>
      </c>
      <c r="G26" s="13" t="str">
        <f t="shared" si="1"/>
        <v>9022524173</v>
      </c>
      <c r="H26" s="2" t="str">
        <f t="shared" si="4"/>
        <v>yes</v>
      </c>
      <c r="I26" s="2" t="s">
        <v>606</v>
      </c>
      <c r="J26" s="2" t="s">
        <v>697</v>
      </c>
      <c r="K26" s="2" t="s">
        <v>799</v>
      </c>
      <c r="L26" s="2">
        <v>76</v>
      </c>
      <c r="M26" s="2">
        <v>147654.99</v>
      </c>
      <c r="N26" s="2">
        <v>54</v>
      </c>
      <c r="O26" t="s">
        <v>731</v>
      </c>
    </row>
    <row r="27" spans="1:15">
      <c r="A27" s="2" t="s">
        <v>1089</v>
      </c>
      <c r="B27" s="2" t="s">
        <v>747</v>
      </c>
      <c r="C27" s="2" t="s">
        <v>722</v>
      </c>
      <c r="D27" s="2" t="s">
        <v>1090</v>
      </c>
      <c r="E27" s="2" t="str">
        <f t="shared" si="3"/>
        <v>OK</v>
      </c>
      <c r="F27" s="13" t="s">
        <v>1091</v>
      </c>
      <c r="G27" s="13" t="str">
        <f t="shared" si="1"/>
        <v>7109216714</v>
      </c>
      <c r="H27" s="2" t="str">
        <f t="shared" si="4"/>
        <v>yes</v>
      </c>
      <c r="I27" s="2" t="s">
        <v>629</v>
      </c>
      <c r="J27" s="2" t="s">
        <v>703</v>
      </c>
      <c r="K27" s="2" t="s">
        <v>1092</v>
      </c>
      <c r="L27" s="2">
        <v>104</v>
      </c>
      <c r="M27" s="2">
        <v>128360.33</v>
      </c>
      <c r="N27" s="2">
        <v>31</v>
      </c>
      <c r="O27" t="s">
        <v>731</v>
      </c>
    </row>
    <row r="28" spans="1:15">
      <c r="A28" s="2" t="s">
        <v>234</v>
      </c>
      <c r="B28" s="2" t="s">
        <v>805</v>
      </c>
      <c r="C28" s="2" t="s">
        <v>764</v>
      </c>
      <c r="D28" s="2" t="s">
        <v>806</v>
      </c>
      <c r="E28" s="2" t="str">
        <f t="shared" si="3"/>
        <v>OK</v>
      </c>
      <c r="F28" s="13" t="s">
        <v>807</v>
      </c>
      <c r="G28" s="13" t="str">
        <f t="shared" si="1"/>
        <v>8721149457</v>
      </c>
      <c r="H28" s="2" t="str">
        <f t="shared" si="4"/>
        <v>yes</v>
      </c>
      <c r="I28" s="2" t="s">
        <v>635</v>
      </c>
      <c r="J28" s="2" t="s">
        <v>690</v>
      </c>
      <c r="K28" s="2" t="s">
        <v>808</v>
      </c>
      <c r="L28" s="2">
        <v>59</v>
      </c>
      <c r="M28" s="2">
        <v>92436.51</v>
      </c>
      <c r="N28" s="2">
        <v>61</v>
      </c>
      <c r="O28" t="s">
        <v>731</v>
      </c>
    </row>
    <row r="29" spans="1:15">
      <c r="A29" s="2" t="s">
        <v>352</v>
      </c>
      <c r="B29" s="2" t="s">
        <v>810</v>
      </c>
      <c r="C29" s="2" t="s">
        <v>800</v>
      </c>
      <c r="D29" s="2" t="s">
        <v>1197</v>
      </c>
      <c r="E29" s="2" t="str">
        <f t="shared" si="3"/>
        <v>OK</v>
      </c>
      <c r="F29" s="13" t="s">
        <v>1198</v>
      </c>
      <c r="G29" s="13" t="str">
        <f t="shared" si="1"/>
        <v>8833169800</v>
      </c>
      <c r="H29" s="2" t="str">
        <f t="shared" si="4"/>
        <v>yes</v>
      </c>
      <c r="I29" s="2" t="s">
        <v>617</v>
      </c>
      <c r="J29" s="2" t="s">
        <v>736</v>
      </c>
      <c r="K29" s="2" t="s">
        <v>1199</v>
      </c>
      <c r="L29" s="2">
        <v>30</v>
      </c>
      <c r="M29" s="2">
        <v>14542.43</v>
      </c>
      <c r="N29" s="2">
        <v>32</v>
      </c>
      <c r="O29" t="s">
        <v>731</v>
      </c>
    </row>
    <row r="30" spans="1:15">
      <c r="A30" s="2" t="s">
        <v>203</v>
      </c>
      <c r="B30" s="2" t="s">
        <v>755</v>
      </c>
      <c r="C30" s="2" t="s">
        <v>694</v>
      </c>
      <c r="D30" s="2" t="s">
        <v>815</v>
      </c>
      <c r="E30" s="2" t="str">
        <f t="shared" si="3"/>
        <v>OK</v>
      </c>
      <c r="F30" s="13" t="s">
        <v>816</v>
      </c>
      <c r="G30" s="13" t="str">
        <f t="shared" si="1"/>
        <v>7174653422</v>
      </c>
      <c r="H30" s="2" t="str">
        <f t="shared" si="4"/>
        <v>yes</v>
      </c>
      <c r="I30" s="2" t="s">
        <v>610</v>
      </c>
      <c r="J30" s="2" t="s">
        <v>697</v>
      </c>
      <c r="K30" s="2" t="s">
        <v>817</v>
      </c>
      <c r="L30" s="2">
        <v>96</v>
      </c>
      <c r="M30" s="2">
        <v>104467.25</v>
      </c>
      <c r="N30" s="2">
        <v>62</v>
      </c>
      <c r="O30" t="s">
        <v>720</v>
      </c>
    </row>
    <row r="31" spans="1:15">
      <c r="A31" s="3" t="s">
        <v>206</v>
      </c>
      <c r="B31" s="3" t="s">
        <v>726</v>
      </c>
      <c r="C31" s="3" t="s">
        <v>775</v>
      </c>
      <c r="D31" s="3" t="s">
        <v>818</v>
      </c>
      <c r="E31" s="2" t="str">
        <f t="shared" si="3"/>
        <v>OK</v>
      </c>
      <c r="F31" s="15" t="s">
        <v>819</v>
      </c>
      <c r="G31" s="13" t="str">
        <f t="shared" si="1"/>
        <v>9585749068</v>
      </c>
      <c r="H31" s="2" t="str">
        <f t="shared" si="4"/>
        <v>yes</v>
      </c>
      <c r="I31" s="2" t="s">
        <v>632</v>
      </c>
      <c r="J31" s="3" t="s">
        <v>697</v>
      </c>
      <c r="K31" s="3" t="s">
        <v>820</v>
      </c>
      <c r="L31" s="3">
        <v>82</v>
      </c>
      <c r="M31" s="2">
        <v>196432.11</v>
      </c>
      <c r="N31" s="3">
        <v>60</v>
      </c>
      <c r="O31" t="s">
        <v>720</v>
      </c>
    </row>
    <row r="32" spans="1:15">
      <c r="A32" s="3" t="s">
        <v>526</v>
      </c>
      <c r="B32" s="3" t="s">
        <v>699</v>
      </c>
      <c r="C32" s="3" t="s">
        <v>706</v>
      </c>
      <c r="D32" s="3" t="s">
        <v>1067</v>
      </c>
      <c r="E32" s="2" t="str">
        <f t="shared" si="3"/>
        <v>OK</v>
      </c>
      <c r="F32" s="15" t="s">
        <v>1068</v>
      </c>
      <c r="G32" s="13" t="str">
        <f t="shared" si="1"/>
        <v>8201784149</v>
      </c>
      <c r="H32" s="2" t="str">
        <f t="shared" si="4"/>
        <v>yes</v>
      </c>
      <c r="I32" s="2" t="s">
        <v>635</v>
      </c>
      <c r="J32" s="3" t="s">
        <v>703</v>
      </c>
      <c r="K32" s="3" t="s">
        <v>1069</v>
      </c>
      <c r="L32" s="3">
        <v>89</v>
      </c>
      <c r="M32" s="2">
        <v>108021.83</v>
      </c>
      <c r="N32" s="3">
        <v>34</v>
      </c>
      <c r="O32" t="s">
        <v>731</v>
      </c>
    </row>
    <row r="33" spans="1:15">
      <c r="A33" s="3" t="s">
        <v>58</v>
      </c>
      <c r="B33" s="3" t="s">
        <v>699</v>
      </c>
      <c r="C33" s="3" t="s">
        <v>727</v>
      </c>
      <c r="D33" s="3" t="s">
        <v>962</v>
      </c>
      <c r="E33" s="2" t="str">
        <f t="shared" si="3"/>
        <v>OK</v>
      </c>
      <c r="F33" s="15" t="s">
        <v>963</v>
      </c>
      <c r="G33" s="13" t="str">
        <f t="shared" si="1"/>
        <v>6645277642</v>
      </c>
      <c r="H33" s="2" t="str">
        <f t="shared" si="4"/>
        <v>yes</v>
      </c>
      <c r="I33" s="2" t="s">
        <v>613</v>
      </c>
      <c r="J33" s="3" t="s">
        <v>703</v>
      </c>
      <c r="K33" s="3" t="s">
        <v>964</v>
      </c>
      <c r="L33" s="3">
        <v>103</v>
      </c>
      <c r="M33" s="2">
        <v>161202.31</v>
      </c>
      <c r="N33" s="3">
        <v>36</v>
      </c>
      <c r="O33" t="s">
        <v>720</v>
      </c>
    </row>
    <row r="34" spans="1:15">
      <c r="A34" s="2" t="s">
        <v>305</v>
      </c>
      <c r="B34" s="2" t="s">
        <v>827</v>
      </c>
      <c r="C34" s="2" t="s">
        <v>687</v>
      </c>
      <c r="D34" s="2" t="s">
        <v>828</v>
      </c>
      <c r="E34" s="2" t="str">
        <f t="shared" si="3"/>
        <v>OK</v>
      </c>
      <c r="F34" s="13" t="s">
        <v>829</v>
      </c>
      <c r="G34" s="13" t="str">
        <f t="shared" si="1"/>
        <v>8485203088</v>
      </c>
      <c r="H34" s="2" t="str">
        <f t="shared" si="4"/>
        <v>yes</v>
      </c>
      <c r="I34" s="2" t="s">
        <v>635</v>
      </c>
      <c r="J34" s="2" t="s">
        <v>697</v>
      </c>
      <c r="K34" s="2" t="s">
        <v>830</v>
      </c>
      <c r="L34" s="2">
        <v>56</v>
      </c>
      <c r="M34" s="2">
        <v>62765.82</v>
      </c>
      <c r="N34" s="2">
        <v>28</v>
      </c>
      <c r="O34" t="s">
        <v>720</v>
      </c>
    </row>
    <row r="35" spans="1:15">
      <c r="A35" s="2" t="s">
        <v>426</v>
      </c>
      <c r="B35" s="2" t="s">
        <v>763</v>
      </c>
      <c r="C35" s="2" t="s">
        <v>694</v>
      </c>
      <c r="D35" s="2" t="s">
        <v>977</v>
      </c>
      <c r="E35" s="2" t="str">
        <f t="shared" si="3"/>
        <v>OK</v>
      </c>
      <c r="F35" s="13" t="s">
        <v>978</v>
      </c>
      <c r="G35" s="13" t="str">
        <f t="shared" si="1"/>
        <v>9080791678</v>
      </c>
      <c r="H35" s="2" t="str">
        <f t="shared" si="4"/>
        <v>yes</v>
      </c>
      <c r="I35" s="2" t="s">
        <v>635</v>
      </c>
      <c r="J35" s="2" t="s">
        <v>703</v>
      </c>
      <c r="K35" s="2" t="s">
        <v>979</v>
      </c>
      <c r="L35" s="2">
        <v>1</v>
      </c>
      <c r="M35" s="2">
        <v>27379.07</v>
      </c>
      <c r="N35" s="2">
        <v>37</v>
      </c>
      <c r="O35" t="s">
        <v>731</v>
      </c>
    </row>
    <row r="36" spans="1:15">
      <c r="A36" s="3" t="s">
        <v>293</v>
      </c>
      <c r="B36" s="3" t="s">
        <v>844</v>
      </c>
      <c r="C36" s="3" t="s">
        <v>694</v>
      </c>
      <c r="D36" s="3" t="s">
        <v>1144</v>
      </c>
      <c r="E36" s="2" t="str">
        <f t="shared" ref="E36:E67" si="5">IF(ISNUMBER(FIND("@",D36)),"OK","INVALID")</f>
        <v>OK</v>
      </c>
      <c r="F36" s="15" t="s">
        <v>1145</v>
      </c>
      <c r="G36" s="13" t="str">
        <f t="shared" si="1"/>
        <v>7929313730</v>
      </c>
      <c r="H36" s="2" t="str">
        <f t="shared" ref="H36:H67" si="6">IF((LEFT(F36,3)="+91"),"yes","no")</f>
        <v>yes</v>
      </c>
      <c r="I36" s="2" t="s">
        <v>713</v>
      </c>
      <c r="J36" s="3" t="s">
        <v>703</v>
      </c>
      <c r="K36" s="3" t="s">
        <v>1146</v>
      </c>
      <c r="L36" s="3">
        <v>63</v>
      </c>
      <c r="M36" s="2">
        <v>121387.75</v>
      </c>
      <c r="N36" s="3">
        <v>37</v>
      </c>
      <c r="O36" t="s">
        <v>731</v>
      </c>
    </row>
    <row r="37" spans="1:15">
      <c r="A37" s="2" t="s">
        <v>548</v>
      </c>
      <c r="B37" s="2" t="s">
        <v>721</v>
      </c>
      <c r="C37" s="2" t="s">
        <v>733</v>
      </c>
      <c r="D37" s="2" t="s">
        <v>1052</v>
      </c>
      <c r="E37" s="2" t="str">
        <f t="shared" si="5"/>
        <v>OK</v>
      </c>
      <c r="F37" s="13" t="s">
        <v>1053</v>
      </c>
      <c r="G37" s="13" t="str">
        <f t="shared" si="1"/>
        <v>8463105817</v>
      </c>
      <c r="H37" s="2" t="str">
        <f t="shared" si="6"/>
        <v>yes</v>
      </c>
      <c r="I37" s="2" t="s">
        <v>617</v>
      </c>
      <c r="J37" s="2" t="s">
        <v>736</v>
      </c>
      <c r="K37" s="2" t="s">
        <v>1054</v>
      </c>
      <c r="L37" s="2">
        <v>98</v>
      </c>
      <c r="M37" s="2">
        <v>171437.44</v>
      </c>
      <c r="N37" s="2">
        <v>34</v>
      </c>
      <c r="O37" t="s">
        <v>720</v>
      </c>
    </row>
    <row r="38" spans="1:15">
      <c r="A38" s="3" t="s">
        <v>248</v>
      </c>
      <c r="B38" s="3" t="s">
        <v>1006</v>
      </c>
      <c r="C38" s="3" t="s">
        <v>775</v>
      </c>
      <c r="D38" s="3" t="s">
        <v>1013</v>
      </c>
      <c r="E38" s="2" t="str">
        <f t="shared" si="5"/>
        <v>OK</v>
      </c>
      <c r="F38" s="15" t="s">
        <v>1014</v>
      </c>
      <c r="G38" s="13" t="str">
        <f t="shared" si="1"/>
        <v>8900088306</v>
      </c>
      <c r="H38" s="2" t="str">
        <f t="shared" si="6"/>
        <v>yes</v>
      </c>
      <c r="I38" s="2" t="s">
        <v>632</v>
      </c>
      <c r="J38" s="3" t="s">
        <v>736</v>
      </c>
      <c r="K38" s="3" t="s">
        <v>1015</v>
      </c>
      <c r="L38" s="3">
        <v>92</v>
      </c>
      <c r="M38" s="2">
        <v>166354.23999999999</v>
      </c>
      <c r="N38" s="3">
        <v>35</v>
      </c>
      <c r="O38" t="s">
        <v>720</v>
      </c>
    </row>
    <row r="39" spans="1:15">
      <c r="A39" s="3" t="s">
        <v>349</v>
      </c>
      <c r="B39" s="3" t="s">
        <v>686</v>
      </c>
      <c r="C39" s="3" t="s">
        <v>899</v>
      </c>
      <c r="D39" s="3" t="s">
        <v>992</v>
      </c>
      <c r="E39" s="2" t="str">
        <f t="shared" si="5"/>
        <v>OK</v>
      </c>
      <c r="F39" s="15" t="s">
        <v>993</v>
      </c>
      <c r="G39" s="13" t="str">
        <f t="shared" si="1"/>
        <v>7780752198</v>
      </c>
      <c r="H39" s="2" t="str">
        <f t="shared" si="6"/>
        <v>yes</v>
      </c>
      <c r="I39" s="2" t="s">
        <v>622</v>
      </c>
      <c r="J39" s="3" t="s">
        <v>736</v>
      </c>
      <c r="K39" s="3" t="s">
        <v>994</v>
      </c>
      <c r="L39" s="3">
        <v>113</v>
      </c>
      <c r="M39" s="2">
        <v>139559.04000000001</v>
      </c>
      <c r="N39" s="3">
        <v>38</v>
      </c>
      <c r="O39" t="s">
        <v>731</v>
      </c>
    </row>
    <row r="40" spans="1:15">
      <c r="A40" s="2" t="s">
        <v>476</v>
      </c>
      <c r="B40" s="2" t="s">
        <v>686</v>
      </c>
      <c r="C40" s="2" t="s">
        <v>710</v>
      </c>
      <c r="D40" s="2" t="s">
        <v>848</v>
      </c>
      <c r="E40" s="2" t="str">
        <f t="shared" si="5"/>
        <v>OK</v>
      </c>
      <c r="F40" s="13" t="s">
        <v>849</v>
      </c>
      <c r="G40" s="13" t="str">
        <f t="shared" si="1"/>
        <v>7625724671</v>
      </c>
      <c r="H40" s="2" t="str">
        <f t="shared" si="6"/>
        <v>yes</v>
      </c>
      <c r="I40" s="2" t="s">
        <v>606</v>
      </c>
      <c r="J40" s="2" t="s">
        <v>690</v>
      </c>
      <c r="K40" s="2" t="s">
        <v>850</v>
      </c>
      <c r="L40" s="2">
        <v>117</v>
      </c>
      <c r="M40" s="2">
        <v>51035.89</v>
      </c>
      <c r="N40" s="2">
        <v>39</v>
      </c>
      <c r="O40" t="s">
        <v>720</v>
      </c>
    </row>
    <row r="41" spans="1:15">
      <c r="A41" s="3" t="s">
        <v>870</v>
      </c>
      <c r="B41" s="3" t="s">
        <v>747</v>
      </c>
      <c r="C41" s="3" t="s">
        <v>694</v>
      </c>
      <c r="D41" s="3" t="s">
        <v>871</v>
      </c>
      <c r="E41" s="2" t="str">
        <f t="shared" si="5"/>
        <v>OK</v>
      </c>
      <c r="F41" s="15" t="s">
        <v>872</v>
      </c>
      <c r="G41" s="13" t="str">
        <f t="shared" si="1"/>
        <v>8219050244</v>
      </c>
      <c r="H41" s="2" t="str">
        <f t="shared" si="6"/>
        <v>yes</v>
      </c>
      <c r="I41" s="2" t="s">
        <v>713</v>
      </c>
      <c r="J41" s="3" t="s">
        <v>703</v>
      </c>
      <c r="K41" s="3" t="s">
        <v>873</v>
      </c>
      <c r="L41" s="3">
        <v>57</v>
      </c>
      <c r="M41" s="2">
        <v>126765.34</v>
      </c>
      <c r="N41" s="3">
        <v>38</v>
      </c>
      <c r="O41" t="s">
        <v>731</v>
      </c>
    </row>
    <row r="42" spans="1:15">
      <c r="A42" s="3" t="s">
        <v>523</v>
      </c>
      <c r="B42" s="3" t="s">
        <v>699</v>
      </c>
      <c r="C42" s="3" t="s">
        <v>733</v>
      </c>
      <c r="D42" s="3" t="s">
        <v>1044</v>
      </c>
      <c r="E42" s="2" t="str">
        <f t="shared" si="5"/>
        <v>INVALID</v>
      </c>
      <c r="F42" s="15" t="s">
        <v>1045</v>
      </c>
      <c r="G42" s="13" t="str">
        <f t="shared" si="1"/>
        <v>7046556006</v>
      </c>
      <c r="H42" s="2" t="str">
        <f t="shared" si="6"/>
        <v>yes</v>
      </c>
      <c r="I42" s="2" t="s">
        <v>629</v>
      </c>
      <c r="J42" s="3" t="s">
        <v>736</v>
      </c>
      <c r="K42" s="3" t="s">
        <v>1046</v>
      </c>
      <c r="L42" s="3">
        <v>81</v>
      </c>
      <c r="M42" s="2">
        <v>76119.19</v>
      </c>
      <c r="N42" s="3">
        <v>40</v>
      </c>
      <c r="O42" t="s">
        <v>731</v>
      </c>
    </row>
    <row r="43" spans="1:15">
      <c r="A43" s="2" t="s">
        <v>321</v>
      </c>
      <c r="B43" s="2" t="s">
        <v>771</v>
      </c>
      <c r="C43" s="2" t="s">
        <v>727</v>
      </c>
      <c r="D43" s="2" t="s">
        <v>841</v>
      </c>
      <c r="E43" s="2" t="str">
        <f t="shared" si="5"/>
        <v>OK</v>
      </c>
      <c r="F43" s="13" t="s">
        <v>842</v>
      </c>
      <c r="G43" s="13" t="str">
        <f t="shared" si="1"/>
        <v>7617740533</v>
      </c>
      <c r="H43" s="2" t="str">
        <f t="shared" si="6"/>
        <v>yes</v>
      </c>
      <c r="I43" s="2" t="s">
        <v>629</v>
      </c>
      <c r="J43" s="2" t="s">
        <v>736</v>
      </c>
      <c r="K43" s="2" t="s">
        <v>843</v>
      </c>
      <c r="L43" s="2">
        <v>69</v>
      </c>
      <c r="M43" s="2">
        <v>187515.47</v>
      </c>
      <c r="N43" s="2">
        <v>43</v>
      </c>
      <c r="O43" t="s">
        <v>720</v>
      </c>
    </row>
    <row r="44" spans="1:15">
      <c r="A44" s="2" t="s">
        <v>151</v>
      </c>
      <c r="B44" s="2" t="s">
        <v>726</v>
      </c>
      <c r="C44" s="2" t="s">
        <v>800</v>
      </c>
      <c r="D44" s="2" t="s">
        <v>860</v>
      </c>
      <c r="E44" s="2" t="str">
        <f t="shared" si="5"/>
        <v>OK</v>
      </c>
      <c r="F44" s="13" t="s">
        <v>861</v>
      </c>
      <c r="G44" s="13" t="str">
        <f t="shared" si="1"/>
        <v>9857853947</v>
      </c>
      <c r="H44" s="2" t="str">
        <f t="shared" si="6"/>
        <v>yes</v>
      </c>
      <c r="I44" s="2" t="s">
        <v>632</v>
      </c>
      <c r="J44" s="2" t="s">
        <v>697</v>
      </c>
      <c r="K44" s="2" t="s">
        <v>862</v>
      </c>
      <c r="L44" s="2">
        <v>30</v>
      </c>
      <c r="M44" s="2">
        <v>172799.7</v>
      </c>
      <c r="N44" s="2">
        <v>56</v>
      </c>
      <c r="O44" t="s">
        <v>731</v>
      </c>
    </row>
    <row r="45" spans="1:15">
      <c r="A45" s="3" t="s">
        <v>949</v>
      </c>
      <c r="B45" s="3" t="s">
        <v>755</v>
      </c>
      <c r="C45" s="3" t="s">
        <v>700</v>
      </c>
      <c r="D45" s="3" t="s">
        <v>950</v>
      </c>
      <c r="E45" s="2" t="str">
        <f t="shared" si="5"/>
        <v>INVALID</v>
      </c>
      <c r="F45" s="15" t="s">
        <v>951</v>
      </c>
      <c r="G45" s="13" t="str">
        <f t="shared" si="1"/>
        <v>8209937925</v>
      </c>
      <c r="H45" s="2" t="str">
        <f t="shared" si="6"/>
        <v>yes</v>
      </c>
      <c r="I45" s="2" t="s">
        <v>626</v>
      </c>
      <c r="J45" s="3" t="s">
        <v>736</v>
      </c>
      <c r="K45" s="3" t="s">
        <v>952</v>
      </c>
      <c r="L45" s="3">
        <v>39</v>
      </c>
      <c r="M45" s="2">
        <v>46918.59</v>
      </c>
      <c r="N45" s="3">
        <v>43</v>
      </c>
      <c r="O45" t="s">
        <v>731</v>
      </c>
    </row>
    <row r="46" spans="1:15">
      <c r="A46" s="2" t="s">
        <v>530</v>
      </c>
      <c r="B46" s="2" t="s">
        <v>732</v>
      </c>
      <c r="C46" s="2" t="s">
        <v>866</v>
      </c>
      <c r="D46" s="2" t="s">
        <v>867</v>
      </c>
      <c r="E46" s="2" t="str">
        <f t="shared" si="5"/>
        <v>OK</v>
      </c>
      <c r="F46" s="13" t="s">
        <v>868</v>
      </c>
      <c r="G46" s="13" t="str">
        <f t="shared" si="1"/>
        <v>6334309386</v>
      </c>
      <c r="H46" s="2" t="str">
        <f t="shared" si="6"/>
        <v>yes</v>
      </c>
      <c r="I46" s="2" t="s">
        <v>626</v>
      </c>
      <c r="J46" s="2" t="s">
        <v>697</v>
      </c>
      <c r="K46" s="2" t="s">
        <v>869</v>
      </c>
      <c r="L46" s="2">
        <v>12</v>
      </c>
      <c r="M46" s="2">
        <v>23029.23</v>
      </c>
      <c r="N46" s="2">
        <v>40</v>
      </c>
      <c r="O46" t="s">
        <v>720</v>
      </c>
    </row>
    <row r="47" spans="1:15">
      <c r="A47" s="3" t="s">
        <v>393</v>
      </c>
      <c r="B47" s="3" t="s">
        <v>763</v>
      </c>
      <c r="C47" s="3" t="s">
        <v>800</v>
      </c>
      <c r="D47" s="3" t="s">
        <v>801</v>
      </c>
      <c r="E47" s="2" t="str">
        <f t="shared" si="5"/>
        <v>INVALID</v>
      </c>
      <c r="F47" s="15" t="s">
        <v>802</v>
      </c>
      <c r="G47" s="13" t="str">
        <f t="shared" si="1"/>
        <v>8239279558</v>
      </c>
      <c r="H47" s="2" t="str">
        <f t="shared" si="6"/>
        <v>yes</v>
      </c>
      <c r="I47" s="2" t="s">
        <v>635</v>
      </c>
      <c r="J47" s="3" t="s">
        <v>803</v>
      </c>
      <c r="K47" s="3" t="s">
        <v>804</v>
      </c>
      <c r="L47" s="3">
        <v>77</v>
      </c>
      <c r="M47" s="2">
        <v>7185.3</v>
      </c>
      <c r="N47" s="3">
        <v>40</v>
      </c>
      <c r="O47" t="s">
        <v>731</v>
      </c>
    </row>
    <row r="48" spans="1:15">
      <c r="A48" s="2" t="s">
        <v>874</v>
      </c>
      <c r="B48" s="2" t="s">
        <v>747</v>
      </c>
      <c r="C48" s="2" t="s">
        <v>875</v>
      </c>
      <c r="D48" s="2" t="s">
        <v>876</v>
      </c>
      <c r="E48" s="2" t="str">
        <f t="shared" si="5"/>
        <v>OK</v>
      </c>
      <c r="F48" s="13" t="s">
        <v>877</v>
      </c>
      <c r="G48" s="13" t="str">
        <f t="shared" si="1"/>
        <v>7080555408</v>
      </c>
      <c r="H48" s="2" t="str">
        <f t="shared" si="6"/>
        <v>yes</v>
      </c>
      <c r="I48" s="2" t="s">
        <v>713</v>
      </c>
      <c r="J48" s="2" t="s">
        <v>697</v>
      </c>
      <c r="K48" s="2" t="s">
        <v>878</v>
      </c>
      <c r="L48" s="2">
        <v>40</v>
      </c>
      <c r="M48" s="2">
        <v>65240.44</v>
      </c>
      <c r="N48" s="2">
        <v>53</v>
      </c>
      <c r="O48" t="s">
        <v>720</v>
      </c>
    </row>
    <row r="49" spans="1:15">
      <c r="A49" s="2" t="s">
        <v>158</v>
      </c>
      <c r="B49" s="2" t="s">
        <v>805</v>
      </c>
      <c r="C49" s="2" t="s">
        <v>694</v>
      </c>
      <c r="D49" s="2" t="s">
        <v>1185</v>
      </c>
      <c r="E49" s="2" t="str">
        <f t="shared" si="5"/>
        <v>OK</v>
      </c>
      <c r="F49" s="13" t="s">
        <v>1186</v>
      </c>
      <c r="G49" s="13" t="str">
        <f t="shared" si="1"/>
        <v>9523819579</v>
      </c>
      <c r="H49" s="2" t="str">
        <f t="shared" si="6"/>
        <v>yes</v>
      </c>
      <c r="I49" s="2" t="s">
        <v>606</v>
      </c>
      <c r="J49" s="2" t="s">
        <v>736</v>
      </c>
      <c r="K49" s="2" t="s">
        <v>1187</v>
      </c>
      <c r="L49" s="2">
        <v>92</v>
      </c>
      <c r="M49" s="2">
        <v>141832.54</v>
      </c>
      <c r="N49" s="2">
        <v>45</v>
      </c>
      <c r="O49" t="s">
        <v>731</v>
      </c>
    </row>
    <row r="50" spans="1:15">
      <c r="A50" s="2" t="s">
        <v>502</v>
      </c>
      <c r="B50" s="2" t="s">
        <v>771</v>
      </c>
      <c r="C50" s="2" t="s">
        <v>751</v>
      </c>
      <c r="D50" s="2" t="s">
        <v>882</v>
      </c>
      <c r="E50" s="2" t="str">
        <f t="shared" si="5"/>
        <v>OK</v>
      </c>
      <c r="F50" s="13" t="s">
        <v>883</v>
      </c>
      <c r="G50" s="13" t="str">
        <f t="shared" si="1"/>
        <v>9896576569</v>
      </c>
      <c r="H50" s="2" t="str">
        <f t="shared" si="6"/>
        <v>yes</v>
      </c>
      <c r="I50" s="2" t="s">
        <v>629</v>
      </c>
      <c r="J50" s="2" t="s">
        <v>690</v>
      </c>
      <c r="K50" s="2" t="s">
        <v>884</v>
      </c>
      <c r="L50" s="2">
        <v>53</v>
      </c>
      <c r="M50" s="2">
        <v>55581.96</v>
      </c>
      <c r="N50" s="2">
        <v>41</v>
      </c>
      <c r="O50" t="s">
        <v>720</v>
      </c>
    </row>
    <row r="51" spans="1:15">
      <c r="A51" s="3" t="s">
        <v>111</v>
      </c>
      <c r="B51" s="3" t="s">
        <v>885</v>
      </c>
      <c r="C51" s="3" t="s">
        <v>700</v>
      </c>
      <c r="D51" s="3" t="s">
        <v>886</v>
      </c>
      <c r="E51" s="2" t="str">
        <f t="shared" si="5"/>
        <v>OK</v>
      </c>
      <c r="F51" s="15" t="s">
        <v>887</v>
      </c>
      <c r="G51" s="13" t="str">
        <f t="shared" si="1"/>
        <v>6957345013</v>
      </c>
      <c r="H51" s="2" t="str">
        <f t="shared" si="6"/>
        <v>yes</v>
      </c>
      <c r="I51" s="2" t="s">
        <v>613</v>
      </c>
      <c r="J51" s="3" t="s">
        <v>690</v>
      </c>
      <c r="K51" s="3" t="s">
        <v>888</v>
      </c>
      <c r="L51" s="3">
        <v>34</v>
      </c>
      <c r="M51" s="2">
        <v>24370.09</v>
      </c>
      <c r="N51" s="3">
        <v>44</v>
      </c>
      <c r="O51" t="s">
        <v>720</v>
      </c>
    </row>
    <row r="52" spans="1:15">
      <c r="A52" s="2" t="s">
        <v>592</v>
      </c>
      <c r="B52" s="2" t="s">
        <v>755</v>
      </c>
      <c r="C52" s="2" t="s">
        <v>722</v>
      </c>
      <c r="D52" s="2" t="s">
        <v>940</v>
      </c>
      <c r="E52" s="2" t="str">
        <f t="shared" si="5"/>
        <v>OK</v>
      </c>
      <c r="F52" s="13" t="s">
        <v>941</v>
      </c>
      <c r="G52" s="13" t="str">
        <f t="shared" si="1"/>
        <v>6711271599</v>
      </c>
      <c r="H52" s="2" t="str">
        <f t="shared" si="6"/>
        <v>yes</v>
      </c>
      <c r="I52" s="2" t="s">
        <v>606</v>
      </c>
      <c r="J52" s="2" t="s">
        <v>703</v>
      </c>
      <c r="K52" s="2" t="s">
        <v>942</v>
      </c>
      <c r="L52" s="2">
        <v>63</v>
      </c>
      <c r="M52" s="2">
        <v>140414.96</v>
      </c>
      <c r="N52" s="2">
        <v>41</v>
      </c>
      <c r="O52" t="s">
        <v>720</v>
      </c>
    </row>
    <row r="53" spans="1:15">
      <c r="A53" s="3" t="s">
        <v>184</v>
      </c>
      <c r="B53" s="3" t="s">
        <v>716</v>
      </c>
      <c r="C53" s="3" t="s">
        <v>733</v>
      </c>
      <c r="D53" s="3" t="s">
        <v>863</v>
      </c>
      <c r="E53" s="2" t="str">
        <f t="shared" si="5"/>
        <v>OK</v>
      </c>
      <c r="F53" s="15" t="s">
        <v>864</v>
      </c>
      <c r="G53" s="13" t="str">
        <f t="shared" si="1"/>
        <v>9588312351</v>
      </c>
      <c r="H53" s="2" t="str">
        <f t="shared" si="6"/>
        <v>yes</v>
      </c>
      <c r="I53" s="2" t="s">
        <v>629</v>
      </c>
      <c r="J53" s="3" t="s">
        <v>736</v>
      </c>
      <c r="K53" s="3" t="s">
        <v>865</v>
      </c>
      <c r="L53" s="3">
        <v>104</v>
      </c>
      <c r="M53" s="2">
        <v>43948.76</v>
      </c>
      <c r="N53" s="3">
        <v>46</v>
      </c>
      <c r="O53" t="s">
        <v>731</v>
      </c>
    </row>
    <row r="54" spans="1:15">
      <c r="A54" s="3" t="s">
        <v>161</v>
      </c>
      <c r="B54" s="3" t="s">
        <v>726</v>
      </c>
      <c r="C54" s="3" t="s">
        <v>727</v>
      </c>
      <c r="D54" s="3" t="s">
        <v>728</v>
      </c>
      <c r="E54" s="2" t="str">
        <f t="shared" si="5"/>
        <v>OK</v>
      </c>
      <c r="F54" s="15" t="s">
        <v>729</v>
      </c>
      <c r="G54" s="13" t="str">
        <f t="shared" si="1"/>
        <v>6183860832</v>
      </c>
      <c r="H54" s="2" t="str">
        <f t="shared" si="6"/>
        <v>yes</v>
      </c>
      <c r="I54" s="2" t="s">
        <v>617</v>
      </c>
      <c r="J54" s="3" t="s">
        <v>703</v>
      </c>
      <c r="K54" s="3" t="s">
        <v>730</v>
      </c>
      <c r="L54" s="3">
        <v>46</v>
      </c>
      <c r="M54" s="2">
        <v>158389.23000000001</v>
      </c>
      <c r="N54" s="3">
        <v>42</v>
      </c>
      <c r="O54" t="s">
        <v>731</v>
      </c>
    </row>
    <row r="55" spans="1:15">
      <c r="A55" s="3" t="s">
        <v>259</v>
      </c>
      <c r="B55" s="3" t="s">
        <v>805</v>
      </c>
      <c r="C55" s="3" t="s">
        <v>899</v>
      </c>
      <c r="D55" s="3" t="s">
        <v>900</v>
      </c>
      <c r="E55" s="2" t="str">
        <f t="shared" si="5"/>
        <v>OK</v>
      </c>
      <c r="F55" s="15" t="s">
        <v>901</v>
      </c>
      <c r="G55" s="13" t="str">
        <f t="shared" si="1"/>
        <v>9510005169</v>
      </c>
      <c r="H55" s="2" t="str">
        <f t="shared" si="6"/>
        <v>yes</v>
      </c>
      <c r="I55" s="2" t="s">
        <v>610</v>
      </c>
      <c r="J55" s="3" t="s">
        <v>697</v>
      </c>
      <c r="K55" s="3" t="s">
        <v>902</v>
      </c>
      <c r="L55" s="3">
        <v>1</v>
      </c>
      <c r="M55" s="2">
        <v>156803.31</v>
      </c>
      <c r="N55" s="3">
        <v>70</v>
      </c>
      <c r="O55" t="s">
        <v>720</v>
      </c>
    </row>
    <row r="56" spans="1:15">
      <c r="A56" s="3" t="s">
        <v>333</v>
      </c>
      <c r="B56" s="3" t="s">
        <v>755</v>
      </c>
      <c r="C56" s="3" t="s">
        <v>779</v>
      </c>
      <c r="D56" s="3" t="s">
        <v>780</v>
      </c>
      <c r="E56" s="2" t="str">
        <f t="shared" si="5"/>
        <v>OK</v>
      </c>
      <c r="F56" s="15" t="s">
        <v>781</v>
      </c>
      <c r="G56" s="13" t="str">
        <f t="shared" si="1"/>
        <v>6199447370</v>
      </c>
      <c r="H56" s="2" t="str">
        <f t="shared" si="6"/>
        <v>yes</v>
      </c>
      <c r="I56" s="2" t="s">
        <v>610</v>
      </c>
      <c r="J56" s="3" t="s">
        <v>703</v>
      </c>
      <c r="K56" s="3" t="s">
        <v>782</v>
      </c>
      <c r="L56" s="3">
        <v>57</v>
      </c>
      <c r="M56" s="2">
        <v>24831.33</v>
      </c>
      <c r="N56" s="3">
        <v>44</v>
      </c>
      <c r="O56" t="s">
        <v>731</v>
      </c>
    </row>
    <row r="57" spans="1:15">
      <c r="A57" s="3" t="s">
        <v>228</v>
      </c>
      <c r="B57" s="3" t="s">
        <v>726</v>
      </c>
      <c r="C57" s="3" t="s">
        <v>875</v>
      </c>
      <c r="D57" s="3" t="s">
        <v>906</v>
      </c>
      <c r="E57" s="2" t="str">
        <f t="shared" si="5"/>
        <v>OK</v>
      </c>
      <c r="F57" s="15" t="s">
        <v>907</v>
      </c>
      <c r="G57" s="13" t="str">
        <f t="shared" si="1"/>
        <v>7481902553</v>
      </c>
      <c r="H57" s="2" t="str">
        <f t="shared" si="6"/>
        <v>yes</v>
      </c>
      <c r="I57" s="2" t="s">
        <v>713</v>
      </c>
      <c r="J57" s="3" t="s">
        <v>690</v>
      </c>
      <c r="K57" s="3" t="s">
        <v>908</v>
      </c>
      <c r="L57" s="3">
        <v>105</v>
      </c>
      <c r="M57" s="2">
        <v>119444.35</v>
      </c>
      <c r="N57" s="3">
        <v>38</v>
      </c>
      <c r="O57" t="s">
        <v>720</v>
      </c>
    </row>
    <row r="58" spans="1:15">
      <c r="A58" s="2" t="s">
        <v>254</v>
      </c>
      <c r="B58" s="2" t="s">
        <v>805</v>
      </c>
      <c r="C58" s="2" t="s">
        <v>759</v>
      </c>
      <c r="D58" s="2" t="s">
        <v>821</v>
      </c>
      <c r="E58" s="2" t="str">
        <f t="shared" si="5"/>
        <v>OK</v>
      </c>
      <c r="F58" s="13" t="s">
        <v>822</v>
      </c>
      <c r="G58" s="13" t="str">
        <f t="shared" si="1"/>
        <v>9186477946</v>
      </c>
      <c r="H58" s="2" t="str">
        <f t="shared" si="6"/>
        <v>yes</v>
      </c>
      <c r="I58" s="2" t="s">
        <v>613</v>
      </c>
      <c r="J58" s="2" t="s">
        <v>703</v>
      </c>
      <c r="K58" s="2" t="s">
        <v>823</v>
      </c>
      <c r="L58" s="2">
        <v>113</v>
      </c>
      <c r="M58" s="2">
        <v>94828.7</v>
      </c>
      <c r="N58" s="2">
        <v>45</v>
      </c>
      <c r="O58" t="s">
        <v>731</v>
      </c>
    </row>
    <row r="59" spans="1:15">
      <c r="A59" s="3" t="s">
        <v>174</v>
      </c>
      <c r="B59" s="3" t="s">
        <v>721</v>
      </c>
      <c r="C59" s="3" t="s">
        <v>739</v>
      </c>
      <c r="D59" s="3" t="s">
        <v>912</v>
      </c>
      <c r="E59" s="2" t="str">
        <f t="shared" si="5"/>
        <v>OK</v>
      </c>
      <c r="F59" s="15" t="s">
        <v>913</v>
      </c>
      <c r="G59" s="13" t="str">
        <f t="shared" si="1"/>
        <v>9404437849</v>
      </c>
      <c r="H59" s="2" t="str">
        <f t="shared" si="6"/>
        <v>yes</v>
      </c>
      <c r="I59" s="2" t="s">
        <v>629</v>
      </c>
      <c r="J59" s="3" t="s">
        <v>697</v>
      </c>
      <c r="K59" s="3" t="s">
        <v>914</v>
      </c>
      <c r="L59" s="3">
        <v>109</v>
      </c>
      <c r="M59" s="2">
        <v>18351.240000000002</v>
      </c>
      <c r="N59" s="3">
        <v>33</v>
      </c>
      <c r="O59" t="s">
        <v>720</v>
      </c>
    </row>
    <row r="60" spans="1:15">
      <c r="A60" s="3" t="s">
        <v>809</v>
      </c>
      <c r="B60" s="3" t="s">
        <v>810</v>
      </c>
      <c r="C60" s="3" t="s">
        <v>811</v>
      </c>
      <c r="D60" s="3" t="s">
        <v>812</v>
      </c>
      <c r="E60" s="2" t="str">
        <f t="shared" si="5"/>
        <v>INVALID</v>
      </c>
      <c r="F60" s="15" t="s">
        <v>813</v>
      </c>
      <c r="G60" s="13" t="str">
        <f t="shared" si="1"/>
        <v>9563307395</v>
      </c>
      <c r="H60" s="2" t="str">
        <f t="shared" si="6"/>
        <v>yes</v>
      </c>
      <c r="I60" s="2" t="s">
        <v>610</v>
      </c>
      <c r="J60" s="3" t="s">
        <v>736</v>
      </c>
      <c r="K60" s="3" t="s">
        <v>814</v>
      </c>
      <c r="L60" s="3">
        <v>81</v>
      </c>
      <c r="M60" s="2">
        <v>154313.70000000001</v>
      </c>
      <c r="N60" s="3">
        <v>47</v>
      </c>
      <c r="O60" t="s">
        <v>731</v>
      </c>
    </row>
    <row r="61" spans="1:15">
      <c r="A61" s="2" t="s">
        <v>272</v>
      </c>
      <c r="B61" s="2" t="s">
        <v>721</v>
      </c>
      <c r="C61" s="2" t="s">
        <v>800</v>
      </c>
      <c r="D61" s="2" t="s">
        <v>896</v>
      </c>
      <c r="E61" s="2" t="str">
        <f t="shared" si="5"/>
        <v>OK</v>
      </c>
      <c r="F61" s="13" t="s">
        <v>897</v>
      </c>
      <c r="G61" s="13" t="str">
        <f t="shared" si="1"/>
        <v>7515685383</v>
      </c>
      <c r="H61" s="2" t="str">
        <f t="shared" si="6"/>
        <v>yes</v>
      </c>
      <c r="I61" s="2" t="s">
        <v>617</v>
      </c>
      <c r="J61" s="2" t="s">
        <v>703</v>
      </c>
      <c r="K61" s="2" t="s">
        <v>898</v>
      </c>
      <c r="L61" s="2">
        <v>2</v>
      </c>
      <c r="M61" s="2">
        <v>8877.68</v>
      </c>
      <c r="N61" s="2">
        <v>45</v>
      </c>
      <c r="O61" t="s">
        <v>720</v>
      </c>
    </row>
    <row r="62" spans="1:15">
      <c r="A62" s="2" t="s">
        <v>256</v>
      </c>
      <c r="B62" s="2" t="s">
        <v>810</v>
      </c>
      <c r="C62" s="2" t="s">
        <v>700</v>
      </c>
      <c r="D62" s="2" t="s">
        <v>921</v>
      </c>
      <c r="E62" s="2" t="str">
        <f t="shared" si="5"/>
        <v>OK</v>
      </c>
      <c r="F62" s="13" t="s">
        <v>922</v>
      </c>
      <c r="G62" s="13" t="str">
        <f t="shared" si="1"/>
        <v>8595066420</v>
      </c>
      <c r="H62" s="2" t="str">
        <f t="shared" si="6"/>
        <v>yes</v>
      </c>
      <c r="I62" s="2" t="s">
        <v>606</v>
      </c>
      <c r="J62" s="2" t="s">
        <v>697</v>
      </c>
      <c r="K62" s="2" t="s">
        <v>923</v>
      </c>
      <c r="L62" s="2">
        <v>37</v>
      </c>
      <c r="M62" s="2">
        <v>123919.65</v>
      </c>
      <c r="N62" s="2">
        <v>31</v>
      </c>
      <c r="O62" t="s">
        <v>720</v>
      </c>
    </row>
    <row r="63" spans="1:15">
      <c r="A63" s="3" t="s">
        <v>508</v>
      </c>
      <c r="B63" s="3" t="s">
        <v>686</v>
      </c>
      <c r="C63" s="3" t="s">
        <v>759</v>
      </c>
      <c r="D63" s="3" t="s">
        <v>924</v>
      </c>
      <c r="E63" s="2" t="str">
        <f t="shared" si="5"/>
        <v>OK</v>
      </c>
      <c r="F63" s="15" t="s">
        <v>925</v>
      </c>
      <c r="G63" s="13" t="str">
        <f t="shared" si="1"/>
        <v>6028336833</v>
      </c>
      <c r="H63" s="2" t="str">
        <f t="shared" si="6"/>
        <v>yes</v>
      </c>
      <c r="I63" s="2" t="s">
        <v>606</v>
      </c>
      <c r="J63" s="3" t="s">
        <v>690</v>
      </c>
      <c r="K63" s="3" t="s">
        <v>926</v>
      </c>
      <c r="L63" s="3">
        <v>61</v>
      </c>
      <c r="M63" s="2">
        <v>186204.33</v>
      </c>
      <c r="N63" s="3">
        <v>42</v>
      </c>
      <c r="O63" t="s">
        <v>731</v>
      </c>
    </row>
    <row r="64" spans="1:15">
      <c r="A64" s="2" t="s">
        <v>115</v>
      </c>
      <c r="B64" s="2" t="s">
        <v>810</v>
      </c>
      <c r="C64" s="2" t="s">
        <v>837</v>
      </c>
      <c r="D64" s="2" t="s">
        <v>1041</v>
      </c>
      <c r="E64" s="2" t="str">
        <f t="shared" si="5"/>
        <v>INVALID</v>
      </c>
      <c r="F64" s="13" t="s">
        <v>1042</v>
      </c>
      <c r="G64" s="13" t="str">
        <f t="shared" si="1"/>
        <v>6096405016</v>
      </c>
      <c r="H64" s="2" t="str">
        <f t="shared" si="6"/>
        <v>yes</v>
      </c>
      <c r="I64" s="2" t="s">
        <v>626</v>
      </c>
      <c r="J64" s="2" t="s">
        <v>736</v>
      </c>
      <c r="K64" s="2" t="s">
        <v>1043</v>
      </c>
      <c r="L64" s="2">
        <v>55</v>
      </c>
      <c r="M64" s="2">
        <v>127786.2</v>
      </c>
      <c r="N64" s="2">
        <v>47</v>
      </c>
      <c r="O64" t="s">
        <v>731</v>
      </c>
    </row>
    <row r="65" spans="1:15">
      <c r="A65" s="2" t="s">
        <v>435</v>
      </c>
      <c r="B65" s="2" t="s">
        <v>726</v>
      </c>
      <c r="C65" s="2" t="s">
        <v>727</v>
      </c>
      <c r="D65" s="2" t="s">
        <v>1117</v>
      </c>
      <c r="E65" s="2" t="str">
        <f t="shared" si="5"/>
        <v>OK</v>
      </c>
      <c r="F65" s="13" t="s">
        <v>1118</v>
      </c>
      <c r="G65" s="13" t="str">
        <f t="shared" si="1"/>
        <v>6079972435</v>
      </c>
      <c r="H65" s="2" t="str">
        <f t="shared" si="6"/>
        <v>yes</v>
      </c>
      <c r="I65" s="2" t="s">
        <v>610</v>
      </c>
      <c r="J65" s="2" t="s">
        <v>703</v>
      </c>
      <c r="K65" s="2" t="s">
        <v>1119</v>
      </c>
      <c r="L65" s="2">
        <v>38</v>
      </c>
      <c r="M65" s="2">
        <v>97331.37</v>
      </c>
      <c r="N65" s="2">
        <v>49</v>
      </c>
      <c r="O65" t="s">
        <v>731</v>
      </c>
    </row>
    <row r="66" spans="1:15">
      <c r="A66" s="3" t="s">
        <v>428</v>
      </c>
      <c r="B66" s="3" t="s">
        <v>771</v>
      </c>
      <c r="C66" s="3" t="s">
        <v>710</v>
      </c>
      <c r="D66" s="3" t="s">
        <v>918</v>
      </c>
      <c r="E66" s="2" t="str">
        <f t="shared" si="5"/>
        <v>INVALID</v>
      </c>
      <c r="F66" s="15" t="s">
        <v>919</v>
      </c>
      <c r="G66" s="13" t="str">
        <f t="shared" si="1"/>
        <v>9810374469</v>
      </c>
      <c r="H66" s="2" t="str">
        <f t="shared" si="6"/>
        <v>yes</v>
      </c>
      <c r="I66" s="2" t="s">
        <v>617</v>
      </c>
      <c r="J66" s="3" t="s">
        <v>703</v>
      </c>
      <c r="K66" s="3" t="s">
        <v>920</v>
      </c>
      <c r="L66" s="3">
        <v>45</v>
      </c>
      <c r="M66" s="2">
        <v>18734.61</v>
      </c>
      <c r="N66" s="3">
        <v>52</v>
      </c>
      <c r="O66" t="s">
        <v>731</v>
      </c>
    </row>
    <row r="67" spans="1:15">
      <c r="A67" s="3" t="s">
        <v>936</v>
      </c>
      <c r="B67" s="3" t="s">
        <v>763</v>
      </c>
      <c r="C67" s="3" t="s">
        <v>733</v>
      </c>
      <c r="D67" s="3" t="s">
        <v>937</v>
      </c>
      <c r="E67" s="2" t="str">
        <f t="shared" si="5"/>
        <v>OK</v>
      </c>
      <c r="F67" s="15" t="s">
        <v>938</v>
      </c>
      <c r="G67" s="13" t="str">
        <f t="shared" ref="G67:G130" si="7">RIGHT(F67,10)</f>
        <v>7889350539</v>
      </c>
      <c r="H67" s="2" t="str">
        <f t="shared" si="6"/>
        <v>yes</v>
      </c>
      <c r="I67" s="2" t="s">
        <v>635</v>
      </c>
      <c r="J67" s="3" t="s">
        <v>690</v>
      </c>
      <c r="K67" s="3" t="s">
        <v>939</v>
      </c>
      <c r="L67" s="3">
        <v>119</v>
      </c>
      <c r="M67" s="2">
        <v>129092.69</v>
      </c>
      <c r="N67" s="3">
        <v>34</v>
      </c>
      <c r="O67" t="s">
        <v>731</v>
      </c>
    </row>
    <row r="68" spans="1:15">
      <c r="A68" s="2" t="s">
        <v>361</v>
      </c>
      <c r="B68" s="2" t="s">
        <v>732</v>
      </c>
      <c r="C68" s="2" t="s">
        <v>739</v>
      </c>
      <c r="D68" s="2" t="s">
        <v>768</v>
      </c>
      <c r="E68" s="2" t="str">
        <f t="shared" ref="E68:E99" si="8">IF(ISNUMBER(FIND("@",D68)),"OK","INVALID")</f>
        <v>OK</v>
      </c>
      <c r="F68" s="13" t="s">
        <v>769</v>
      </c>
      <c r="G68" s="13" t="str">
        <f t="shared" si="7"/>
        <v>9942358816</v>
      </c>
      <c r="H68" s="2" t="str">
        <f t="shared" ref="H68:H99" si="9">IF((LEFT(F68,3)="+91"),"yes","no")</f>
        <v>yes</v>
      </c>
      <c r="I68" s="2" t="s">
        <v>629</v>
      </c>
      <c r="J68" s="2" t="s">
        <v>703</v>
      </c>
      <c r="K68" s="2" t="s">
        <v>770</v>
      </c>
      <c r="L68" s="2">
        <v>120</v>
      </c>
      <c r="M68" s="2">
        <v>168387.09</v>
      </c>
      <c r="N68" s="2">
        <v>53</v>
      </c>
      <c r="O68" t="s">
        <v>720</v>
      </c>
    </row>
    <row r="69" spans="1:15">
      <c r="A69" s="3" t="s">
        <v>245</v>
      </c>
      <c r="B69" s="3" t="s">
        <v>771</v>
      </c>
      <c r="C69" s="3" t="s">
        <v>722</v>
      </c>
      <c r="D69" s="3" t="s">
        <v>943</v>
      </c>
      <c r="E69" s="2" t="str">
        <f t="shared" si="8"/>
        <v>OK</v>
      </c>
      <c r="F69" s="15" t="s">
        <v>944</v>
      </c>
      <c r="G69" s="13" t="str">
        <f t="shared" si="7"/>
        <v>6987802843</v>
      </c>
      <c r="H69" s="2" t="str">
        <f t="shared" si="9"/>
        <v>yes</v>
      </c>
      <c r="I69" s="2" t="s">
        <v>629</v>
      </c>
      <c r="J69" s="3" t="s">
        <v>690</v>
      </c>
      <c r="K69" s="3" t="s">
        <v>945</v>
      </c>
      <c r="L69" s="3">
        <v>97</v>
      </c>
      <c r="M69" s="2">
        <v>158397.51999999999</v>
      </c>
      <c r="N69" s="3">
        <v>46</v>
      </c>
      <c r="O69" t="s">
        <v>731</v>
      </c>
    </row>
    <row r="70" spans="1:15">
      <c r="A70" s="2" t="s">
        <v>210</v>
      </c>
      <c r="B70" s="2" t="s">
        <v>732</v>
      </c>
      <c r="C70" s="2" t="s">
        <v>764</v>
      </c>
      <c r="D70" s="2" t="s">
        <v>946</v>
      </c>
      <c r="E70" s="2" t="str">
        <f t="shared" si="8"/>
        <v>OK</v>
      </c>
      <c r="F70" s="13" t="s">
        <v>947</v>
      </c>
      <c r="G70" s="13" t="str">
        <f t="shared" si="7"/>
        <v>6331091398</v>
      </c>
      <c r="H70" s="2" t="str">
        <f t="shared" si="9"/>
        <v>yes</v>
      </c>
      <c r="I70" s="2" t="s">
        <v>617</v>
      </c>
      <c r="J70" s="2" t="s">
        <v>690</v>
      </c>
      <c r="K70" s="2" t="s">
        <v>948</v>
      </c>
      <c r="L70" s="2">
        <v>62</v>
      </c>
      <c r="M70" s="2">
        <v>25602.58</v>
      </c>
      <c r="N70" s="2">
        <v>46</v>
      </c>
      <c r="O70" t="s">
        <v>720</v>
      </c>
    </row>
    <row r="71" spans="1:15">
      <c r="A71" s="2" t="s">
        <v>532</v>
      </c>
      <c r="B71" s="2" t="s">
        <v>726</v>
      </c>
      <c r="C71" s="2" t="s">
        <v>837</v>
      </c>
      <c r="D71" s="2" t="s">
        <v>1110</v>
      </c>
      <c r="E71" s="2" t="str">
        <f t="shared" si="8"/>
        <v>OK</v>
      </c>
      <c r="F71" s="13" t="s">
        <v>1111</v>
      </c>
      <c r="G71" s="13" t="str">
        <f t="shared" si="7"/>
        <v>8420663750</v>
      </c>
      <c r="H71" s="2" t="str">
        <f t="shared" si="9"/>
        <v>yes</v>
      </c>
      <c r="I71" s="2" t="s">
        <v>629</v>
      </c>
      <c r="J71" s="2" t="s">
        <v>736</v>
      </c>
      <c r="K71" s="2" t="s">
        <v>1112</v>
      </c>
      <c r="L71" s="2">
        <v>24</v>
      </c>
      <c r="M71" s="2">
        <v>174761.81</v>
      </c>
      <c r="N71" s="2">
        <v>48</v>
      </c>
      <c r="O71" t="s">
        <v>731</v>
      </c>
    </row>
    <row r="72" spans="1:15">
      <c r="A72" s="2" t="s">
        <v>170</v>
      </c>
      <c r="B72" s="2" t="s">
        <v>686</v>
      </c>
      <c r="C72" s="2" t="s">
        <v>837</v>
      </c>
      <c r="D72" s="2" t="s">
        <v>953</v>
      </c>
      <c r="E72" s="2" t="str">
        <f t="shared" si="8"/>
        <v>OK</v>
      </c>
      <c r="F72" s="13" t="s">
        <v>954</v>
      </c>
      <c r="G72" s="13" t="str">
        <f t="shared" si="7"/>
        <v>8763712703</v>
      </c>
      <c r="H72" s="2" t="str">
        <f t="shared" si="9"/>
        <v>yes</v>
      </c>
      <c r="I72" s="2" t="s">
        <v>629</v>
      </c>
      <c r="J72" s="2" t="s">
        <v>690</v>
      </c>
      <c r="K72" s="2" t="s">
        <v>955</v>
      </c>
      <c r="L72" s="2">
        <v>2</v>
      </c>
      <c r="M72" s="2">
        <v>196344.3</v>
      </c>
      <c r="N72" s="2">
        <v>18</v>
      </c>
      <c r="O72" t="s">
        <v>731</v>
      </c>
    </row>
    <row r="73" spans="1:15">
      <c r="A73" s="3" t="s">
        <v>283</v>
      </c>
      <c r="B73" s="3" t="s">
        <v>693</v>
      </c>
      <c r="C73" s="3" t="s">
        <v>700</v>
      </c>
      <c r="D73" s="3" t="s">
        <v>956</v>
      </c>
      <c r="E73" s="2" t="str">
        <f t="shared" si="8"/>
        <v>OK</v>
      </c>
      <c r="F73" s="15" t="s">
        <v>957</v>
      </c>
      <c r="G73" s="13" t="str">
        <f t="shared" si="7"/>
        <v>7206067650</v>
      </c>
      <c r="H73" s="2" t="str">
        <f t="shared" si="9"/>
        <v>yes</v>
      </c>
      <c r="I73" s="2" t="s">
        <v>626</v>
      </c>
      <c r="J73" s="3" t="s">
        <v>690</v>
      </c>
      <c r="K73" s="3" t="s">
        <v>958</v>
      </c>
      <c r="L73" s="3">
        <v>99</v>
      </c>
      <c r="M73" s="2">
        <v>157818.07999999999</v>
      </c>
      <c r="N73" s="3">
        <v>64</v>
      </c>
      <c r="O73" t="s">
        <v>731</v>
      </c>
    </row>
    <row r="74" spans="1:15">
      <c r="A74" s="2" t="s">
        <v>373</v>
      </c>
      <c r="B74" s="2" t="s">
        <v>810</v>
      </c>
      <c r="C74" s="2" t="s">
        <v>751</v>
      </c>
      <c r="D74" s="2" t="s">
        <v>959</v>
      </c>
      <c r="E74" s="2" t="str">
        <f t="shared" si="8"/>
        <v>OK</v>
      </c>
      <c r="F74" s="13" t="s">
        <v>960</v>
      </c>
      <c r="G74" s="13" t="str">
        <f t="shared" si="7"/>
        <v>6908459040</v>
      </c>
      <c r="H74" s="2" t="str">
        <f t="shared" si="9"/>
        <v>yes</v>
      </c>
      <c r="I74" s="2" t="s">
        <v>610</v>
      </c>
      <c r="J74" s="2" t="s">
        <v>690</v>
      </c>
      <c r="K74" s="2" t="s">
        <v>961</v>
      </c>
      <c r="L74" s="2">
        <v>56</v>
      </c>
      <c r="M74" s="2">
        <v>151461.16</v>
      </c>
      <c r="N74" s="2">
        <v>20</v>
      </c>
      <c r="O74" t="s">
        <v>720</v>
      </c>
    </row>
    <row r="75" spans="1:15">
      <c r="A75" s="2" t="s">
        <v>449</v>
      </c>
      <c r="B75" s="2" t="s">
        <v>763</v>
      </c>
      <c r="C75" s="2" t="s">
        <v>775</v>
      </c>
      <c r="D75" s="2" t="s">
        <v>776</v>
      </c>
      <c r="E75" s="2" t="str">
        <f t="shared" si="8"/>
        <v>OK</v>
      </c>
      <c r="F75" s="13" t="s">
        <v>777</v>
      </c>
      <c r="G75" s="13" t="str">
        <f t="shared" si="7"/>
        <v>9786236940</v>
      </c>
      <c r="H75" s="2" t="str">
        <f t="shared" si="9"/>
        <v>yes</v>
      </c>
      <c r="I75" s="2" t="s">
        <v>713</v>
      </c>
      <c r="J75" s="2" t="s">
        <v>703</v>
      </c>
      <c r="K75" s="2" t="s">
        <v>778</v>
      </c>
      <c r="L75" s="2">
        <v>71</v>
      </c>
      <c r="M75" s="2">
        <v>165736.28</v>
      </c>
      <c r="N75" s="2">
        <v>53</v>
      </c>
      <c r="O75" t="s">
        <v>720</v>
      </c>
    </row>
    <row r="76" spans="1:15">
      <c r="A76" s="2" t="s">
        <v>166</v>
      </c>
      <c r="B76" s="2" t="s">
        <v>716</v>
      </c>
      <c r="C76" s="2" t="s">
        <v>739</v>
      </c>
      <c r="D76" s="2" t="s">
        <v>965</v>
      </c>
      <c r="E76" s="2" t="str">
        <f t="shared" si="8"/>
        <v>INVALID</v>
      </c>
      <c r="F76" s="13" t="s">
        <v>966</v>
      </c>
      <c r="G76" s="13" t="str">
        <f t="shared" si="7"/>
        <v>6802753761</v>
      </c>
      <c r="H76" s="2" t="str">
        <f t="shared" si="9"/>
        <v>yes</v>
      </c>
      <c r="I76" s="2" t="s">
        <v>629</v>
      </c>
      <c r="J76" s="2" t="s">
        <v>690</v>
      </c>
      <c r="K76" s="2" t="s">
        <v>967</v>
      </c>
      <c r="L76" s="2">
        <v>38</v>
      </c>
      <c r="M76" s="2">
        <v>88024.42</v>
      </c>
      <c r="N76" s="2">
        <v>56</v>
      </c>
      <c r="O76" t="s">
        <v>720</v>
      </c>
    </row>
    <row r="77" spans="1:15">
      <c r="A77" s="3" t="s">
        <v>505</v>
      </c>
      <c r="B77" s="3" t="s">
        <v>790</v>
      </c>
      <c r="C77" s="3" t="s">
        <v>751</v>
      </c>
      <c r="D77" s="3" t="s">
        <v>968</v>
      </c>
      <c r="E77" s="2" t="str">
        <f t="shared" si="8"/>
        <v>OK</v>
      </c>
      <c r="F77" s="15" t="s">
        <v>969</v>
      </c>
      <c r="G77" s="13" t="str">
        <f t="shared" si="7"/>
        <v>6675844672</v>
      </c>
      <c r="H77" s="2" t="str">
        <f t="shared" si="9"/>
        <v>yes</v>
      </c>
      <c r="I77" s="2" t="s">
        <v>713</v>
      </c>
      <c r="J77" s="3" t="s">
        <v>690</v>
      </c>
      <c r="K77" s="3" t="s">
        <v>970</v>
      </c>
      <c r="L77" s="3">
        <v>77</v>
      </c>
      <c r="M77" s="2">
        <v>38996.58</v>
      </c>
      <c r="N77" s="3">
        <v>19</v>
      </c>
      <c r="O77" t="s">
        <v>731</v>
      </c>
    </row>
    <row r="78" spans="1:15">
      <c r="A78" s="2" t="s">
        <v>238</v>
      </c>
      <c r="B78" s="2" t="s">
        <v>721</v>
      </c>
      <c r="C78" s="2" t="s">
        <v>687</v>
      </c>
      <c r="D78" s="2" t="s">
        <v>971</v>
      </c>
      <c r="E78" s="2" t="str">
        <f t="shared" si="8"/>
        <v>OK</v>
      </c>
      <c r="F78" s="13" t="s">
        <v>972</v>
      </c>
      <c r="G78" s="13" t="str">
        <f t="shared" si="7"/>
        <v>7555735702</v>
      </c>
      <c r="H78" s="2" t="str">
        <f t="shared" si="9"/>
        <v>yes</v>
      </c>
      <c r="I78" s="2" t="s">
        <v>622</v>
      </c>
      <c r="J78" s="2" t="s">
        <v>690</v>
      </c>
      <c r="K78" s="2" t="s">
        <v>973</v>
      </c>
      <c r="L78" s="2">
        <v>30</v>
      </c>
      <c r="M78" s="2">
        <v>138005.37</v>
      </c>
      <c r="N78" s="2">
        <v>51</v>
      </c>
      <c r="O78" t="s">
        <v>731</v>
      </c>
    </row>
    <row r="79" spans="1:15">
      <c r="A79" s="3" t="s">
        <v>410</v>
      </c>
      <c r="B79" s="3" t="s">
        <v>693</v>
      </c>
      <c r="C79" s="3" t="s">
        <v>875</v>
      </c>
      <c r="D79" s="3" t="s">
        <v>974</v>
      </c>
      <c r="E79" s="2" t="str">
        <f t="shared" si="8"/>
        <v>OK</v>
      </c>
      <c r="F79" s="15" t="s">
        <v>975</v>
      </c>
      <c r="G79" s="13" t="str">
        <f t="shared" si="7"/>
        <v>8585657398</v>
      </c>
      <c r="H79" s="2" t="str">
        <f t="shared" si="9"/>
        <v>yes</v>
      </c>
      <c r="I79" s="2" t="s">
        <v>622</v>
      </c>
      <c r="J79" s="3" t="s">
        <v>690</v>
      </c>
      <c r="K79" s="3" t="s">
        <v>976</v>
      </c>
      <c r="L79" s="3">
        <v>102</v>
      </c>
      <c r="M79" s="2">
        <v>71954.42</v>
      </c>
      <c r="N79" s="3">
        <v>26</v>
      </c>
      <c r="O79" t="s">
        <v>720</v>
      </c>
    </row>
    <row r="80" spans="1:15">
      <c r="A80" s="2" t="s">
        <v>1016</v>
      </c>
      <c r="B80" s="2" t="s">
        <v>771</v>
      </c>
      <c r="C80" s="2" t="s">
        <v>706</v>
      </c>
      <c r="D80" s="2" t="s">
        <v>1017</v>
      </c>
      <c r="E80" s="2" t="str">
        <f t="shared" si="8"/>
        <v>OK</v>
      </c>
      <c r="F80" s="13" t="s">
        <v>1018</v>
      </c>
      <c r="G80" s="13" t="str">
        <f t="shared" si="7"/>
        <v>8056493243</v>
      </c>
      <c r="H80" s="2" t="str">
        <f t="shared" si="9"/>
        <v>yes</v>
      </c>
      <c r="I80" s="2" t="s">
        <v>613</v>
      </c>
      <c r="J80" s="2" t="s">
        <v>703</v>
      </c>
      <c r="K80" s="2" t="s">
        <v>1019</v>
      </c>
      <c r="L80" s="2">
        <v>95</v>
      </c>
      <c r="M80" s="2">
        <v>182937.56</v>
      </c>
      <c r="N80" s="2">
        <v>53</v>
      </c>
      <c r="O80" t="s">
        <v>720</v>
      </c>
    </row>
    <row r="81" spans="1:15">
      <c r="A81" s="3" t="s">
        <v>556</v>
      </c>
      <c r="B81" s="3" t="s">
        <v>827</v>
      </c>
      <c r="C81" s="3" t="s">
        <v>775</v>
      </c>
      <c r="D81" s="3" t="s">
        <v>980</v>
      </c>
      <c r="E81" s="2" t="str">
        <f t="shared" si="8"/>
        <v>OK</v>
      </c>
      <c r="F81" s="15" t="s">
        <v>981</v>
      </c>
      <c r="G81" s="13" t="str">
        <f t="shared" si="7"/>
        <v>9508795329</v>
      </c>
      <c r="H81" s="2" t="str">
        <f t="shared" si="9"/>
        <v>yes</v>
      </c>
      <c r="I81" s="2" t="s">
        <v>629</v>
      </c>
      <c r="J81" s="3" t="s">
        <v>690</v>
      </c>
      <c r="K81" s="3" t="s">
        <v>982</v>
      </c>
      <c r="L81" s="3">
        <v>71</v>
      </c>
      <c r="M81" s="2">
        <v>179783.28</v>
      </c>
      <c r="N81" s="3">
        <v>18</v>
      </c>
      <c r="O81" t="s">
        <v>731</v>
      </c>
    </row>
    <row r="82" spans="1:15">
      <c r="A82" s="2" t="s">
        <v>78</v>
      </c>
      <c r="B82" s="2" t="s">
        <v>810</v>
      </c>
      <c r="C82" s="2" t="s">
        <v>710</v>
      </c>
      <c r="D82" s="2" t="s">
        <v>983</v>
      </c>
      <c r="E82" s="2" t="str">
        <f t="shared" si="8"/>
        <v>INVALID</v>
      </c>
      <c r="F82" s="13" t="s">
        <v>984</v>
      </c>
      <c r="G82" s="13" t="str">
        <f t="shared" si="7"/>
        <v>6508224423</v>
      </c>
      <c r="H82" s="2" t="str">
        <f t="shared" si="9"/>
        <v>yes</v>
      </c>
      <c r="I82" s="2" t="s">
        <v>713</v>
      </c>
      <c r="J82" s="2" t="s">
        <v>697</v>
      </c>
      <c r="K82" s="2" t="s">
        <v>985</v>
      </c>
      <c r="L82" s="2">
        <v>48</v>
      </c>
      <c r="M82" s="2">
        <v>97317.78</v>
      </c>
      <c r="N82" s="2">
        <v>37</v>
      </c>
      <c r="O82" t="s">
        <v>731</v>
      </c>
    </row>
    <row r="83" spans="1:15">
      <c r="A83" s="3" t="s">
        <v>520</v>
      </c>
      <c r="B83" s="3" t="s">
        <v>810</v>
      </c>
      <c r="C83" s="3" t="s">
        <v>800</v>
      </c>
      <c r="D83" s="3" t="s">
        <v>986</v>
      </c>
      <c r="E83" s="2" t="str">
        <f t="shared" si="8"/>
        <v>OK</v>
      </c>
      <c r="F83" s="15" t="s">
        <v>987</v>
      </c>
      <c r="G83" s="13" t="str">
        <f t="shared" si="7"/>
        <v>8839444315</v>
      </c>
      <c r="H83" s="2" t="str">
        <f t="shared" si="9"/>
        <v>yes</v>
      </c>
      <c r="I83" s="2" t="s">
        <v>626</v>
      </c>
      <c r="J83" s="3" t="s">
        <v>697</v>
      </c>
      <c r="K83" s="3" t="s">
        <v>988</v>
      </c>
      <c r="L83" s="3">
        <v>25</v>
      </c>
      <c r="M83" s="2">
        <v>87781.25</v>
      </c>
      <c r="N83" s="3">
        <v>32</v>
      </c>
      <c r="O83" t="s">
        <v>720</v>
      </c>
    </row>
    <row r="84" spans="1:15">
      <c r="A84" s="2" t="s">
        <v>287</v>
      </c>
      <c r="B84" s="2" t="s">
        <v>686</v>
      </c>
      <c r="C84" s="2" t="s">
        <v>899</v>
      </c>
      <c r="D84" s="2" t="s">
        <v>989</v>
      </c>
      <c r="E84" s="2" t="str">
        <f t="shared" si="8"/>
        <v>OK</v>
      </c>
      <c r="F84" s="13" t="s">
        <v>990</v>
      </c>
      <c r="G84" s="13" t="str">
        <f t="shared" si="7"/>
        <v>6989329953</v>
      </c>
      <c r="H84" s="2" t="str">
        <f t="shared" si="9"/>
        <v>yes</v>
      </c>
      <c r="I84" s="2" t="s">
        <v>713</v>
      </c>
      <c r="J84" s="2" t="s">
        <v>697</v>
      </c>
      <c r="K84" s="2" t="s">
        <v>991</v>
      </c>
      <c r="L84" s="2">
        <v>53</v>
      </c>
      <c r="M84" s="2">
        <v>59295.56</v>
      </c>
      <c r="N84" s="2">
        <v>31</v>
      </c>
      <c r="O84" t="s">
        <v>731</v>
      </c>
    </row>
    <row r="85" spans="1:15">
      <c r="A85" s="3" t="s">
        <v>312</v>
      </c>
      <c r="B85" s="3" t="s">
        <v>844</v>
      </c>
      <c r="C85" s="3" t="s">
        <v>727</v>
      </c>
      <c r="D85" s="3" t="s">
        <v>845</v>
      </c>
      <c r="E85" s="2" t="str">
        <f t="shared" si="8"/>
        <v>OK</v>
      </c>
      <c r="F85" s="15" t="s">
        <v>846</v>
      </c>
      <c r="G85" s="13" t="str">
        <f t="shared" si="7"/>
        <v>8807514105</v>
      </c>
      <c r="H85" s="2" t="str">
        <f t="shared" si="9"/>
        <v>yes</v>
      </c>
      <c r="I85" s="2" t="s">
        <v>626</v>
      </c>
      <c r="J85" s="3" t="s">
        <v>736</v>
      </c>
      <c r="K85" s="3" t="s">
        <v>847</v>
      </c>
      <c r="L85" s="3">
        <v>40</v>
      </c>
      <c r="M85" s="2">
        <v>104424.79</v>
      </c>
      <c r="N85" s="3">
        <v>50</v>
      </c>
      <c r="O85" t="s">
        <v>731</v>
      </c>
    </row>
    <row r="86" spans="1:15">
      <c r="A86" s="2" t="s">
        <v>995</v>
      </c>
      <c r="B86" s="2" t="s">
        <v>790</v>
      </c>
      <c r="C86" s="2" t="s">
        <v>739</v>
      </c>
      <c r="D86" s="2" t="s">
        <v>996</v>
      </c>
      <c r="E86" s="2" t="str">
        <f t="shared" si="8"/>
        <v>OK</v>
      </c>
      <c r="F86" s="13" t="s">
        <v>997</v>
      </c>
      <c r="G86" s="13" t="str">
        <f t="shared" si="7"/>
        <v>9483959915</v>
      </c>
      <c r="H86" s="2" t="str">
        <f t="shared" si="9"/>
        <v>yes</v>
      </c>
      <c r="I86" s="2" t="s">
        <v>629</v>
      </c>
      <c r="J86" s="2" t="s">
        <v>697</v>
      </c>
      <c r="K86" s="2" t="s">
        <v>998</v>
      </c>
      <c r="L86" s="2">
        <v>72</v>
      </c>
      <c r="M86" s="2">
        <v>38360.28</v>
      </c>
      <c r="N86" s="2">
        <v>19</v>
      </c>
      <c r="O86" t="s">
        <v>720</v>
      </c>
    </row>
    <row r="87" spans="1:15">
      <c r="A87" s="3" t="s">
        <v>999</v>
      </c>
      <c r="B87" s="3" t="s">
        <v>805</v>
      </c>
      <c r="C87" s="3" t="s">
        <v>694</v>
      </c>
      <c r="D87" s="3" t="s">
        <v>1000</v>
      </c>
      <c r="E87" s="2" t="str">
        <f t="shared" si="8"/>
        <v>OK</v>
      </c>
      <c r="F87" s="15" t="s">
        <v>1001</v>
      </c>
      <c r="G87" s="13" t="str">
        <f t="shared" si="7"/>
        <v>7418304567</v>
      </c>
      <c r="H87" s="2" t="str">
        <f t="shared" si="9"/>
        <v>yes</v>
      </c>
      <c r="I87" s="2" t="s">
        <v>617</v>
      </c>
      <c r="J87" s="3" t="s">
        <v>697</v>
      </c>
      <c r="K87" s="3" t="s">
        <v>1002</v>
      </c>
      <c r="L87" s="3">
        <v>56</v>
      </c>
      <c r="M87" s="2">
        <v>37732.03</v>
      </c>
      <c r="N87" s="3">
        <v>67</v>
      </c>
      <c r="O87" t="s">
        <v>731</v>
      </c>
    </row>
    <row r="88" spans="1:15">
      <c r="A88" s="3" t="s">
        <v>94</v>
      </c>
      <c r="B88" s="3" t="s">
        <v>771</v>
      </c>
      <c r="C88" s="3" t="s">
        <v>875</v>
      </c>
      <c r="D88" s="3" t="s">
        <v>1020</v>
      </c>
      <c r="E88" s="2" t="str">
        <f t="shared" si="8"/>
        <v>OK</v>
      </c>
      <c r="F88" s="15" t="s">
        <v>1021</v>
      </c>
      <c r="G88" s="13" t="str">
        <f t="shared" si="7"/>
        <v>8057380250</v>
      </c>
      <c r="H88" s="2" t="str">
        <f t="shared" si="9"/>
        <v>yes</v>
      </c>
      <c r="I88" s="2" t="s">
        <v>626</v>
      </c>
      <c r="J88" s="3" t="s">
        <v>736</v>
      </c>
      <c r="K88" s="3" t="s">
        <v>1022</v>
      </c>
      <c r="L88" s="3">
        <v>83</v>
      </c>
      <c r="M88" s="2">
        <v>111126.8</v>
      </c>
      <c r="N88" s="3">
        <v>50</v>
      </c>
      <c r="O88" t="s">
        <v>731</v>
      </c>
    </row>
    <row r="89" spans="1:15">
      <c r="A89" s="3" t="s">
        <v>215</v>
      </c>
      <c r="B89" s="3" t="s">
        <v>732</v>
      </c>
      <c r="C89" s="3" t="s">
        <v>710</v>
      </c>
      <c r="D89" s="3" t="s">
        <v>1026</v>
      </c>
      <c r="E89" s="2" t="str">
        <f t="shared" si="8"/>
        <v>OK</v>
      </c>
      <c r="F89" s="15" t="s">
        <v>1027</v>
      </c>
      <c r="G89" s="13" t="str">
        <f t="shared" si="7"/>
        <v>8537427612</v>
      </c>
      <c r="H89" s="2" t="str">
        <f t="shared" si="9"/>
        <v>yes</v>
      </c>
      <c r="I89" s="2" t="s">
        <v>635</v>
      </c>
      <c r="J89" s="3" t="s">
        <v>703</v>
      </c>
      <c r="K89" s="3" t="s">
        <v>1028</v>
      </c>
      <c r="L89" s="3">
        <v>107</v>
      </c>
      <c r="M89" s="2">
        <v>31427.58</v>
      </c>
      <c r="N89" s="3">
        <v>54</v>
      </c>
      <c r="O89" t="s">
        <v>720</v>
      </c>
    </row>
    <row r="90" spans="1:15">
      <c r="A90" s="3" t="s">
        <v>144</v>
      </c>
      <c r="B90" s="3" t="s">
        <v>1006</v>
      </c>
      <c r="C90" s="3" t="s">
        <v>800</v>
      </c>
      <c r="D90" s="3" t="s">
        <v>1086</v>
      </c>
      <c r="E90" s="2" t="str">
        <f t="shared" si="8"/>
        <v>OK</v>
      </c>
      <c r="F90" s="15" t="s">
        <v>1087</v>
      </c>
      <c r="G90" s="13" t="str">
        <f t="shared" si="7"/>
        <v>6714430728</v>
      </c>
      <c r="H90" s="2" t="str">
        <f t="shared" si="9"/>
        <v>yes</v>
      </c>
      <c r="I90" s="2" t="s">
        <v>613</v>
      </c>
      <c r="J90" s="3" t="s">
        <v>703</v>
      </c>
      <c r="K90" s="3" t="s">
        <v>1088</v>
      </c>
      <c r="L90" s="3">
        <v>69</v>
      </c>
      <c r="M90" s="2">
        <v>64858.71</v>
      </c>
      <c r="N90" s="3">
        <v>54</v>
      </c>
      <c r="O90" t="s">
        <v>731</v>
      </c>
    </row>
    <row r="91" spans="1:15">
      <c r="A91" s="3" t="s">
        <v>584</v>
      </c>
      <c r="B91" s="3" t="s">
        <v>743</v>
      </c>
      <c r="C91" s="3" t="s">
        <v>710</v>
      </c>
      <c r="D91" s="3" t="s">
        <v>857</v>
      </c>
      <c r="E91" s="2" t="str">
        <f t="shared" si="8"/>
        <v>OK</v>
      </c>
      <c r="F91" s="15" t="s">
        <v>858</v>
      </c>
      <c r="G91" s="13" t="str">
        <f t="shared" si="7"/>
        <v>8806059083</v>
      </c>
      <c r="H91" s="2" t="str">
        <f t="shared" si="9"/>
        <v>yes</v>
      </c>
      <c r="I91" s="2" t="s">
        <v>617</v>
      </c>
      <c r="J91" s="3" t="s">
        <v>736</v>
      </c>
      <c r="K91" s="3" t="s">
        <v>859</v>
      </c>
      <c r="L91" s="3">
        <v>70</v>
      </c>
      <c r="M91" s="2">
        <v>177560.16</v>
      </c>
      <c r="N91" s="3">
        <v>52</v>
      </c>
      <c r="O91" t="s">
        <v>720</v>
      </c>
    </row>
    <row r="92" spans="1:15">
      <c r="A92" s="2" t="s">
        <v>163</v>
      </c>
      <c r="B92" s="2" t="s">
        <v>810</v>
      </c>
      <c r="C92" s="2" t="s">
        <v>722</v>
      </c>
      <c r="D92" s="2" t="s">
        <v>909</v>
      </c>
      <c r="E92" s="2" t="str">
        <f t="shared" si="8"/>
        <v>OK</v>
      </c>
      <c r="F92" s="13" t="s">
        <v>910</v>
      </c>
      <c r="G92" s="13" t="str">
        <f t="shared" si="7"/>
        <v>8091054466</v>
      </c>
      <c r="H92" s="2" t="str">
        <f t="shared" si="9"/>
        <v>yes</v>
      </c>
      <c r="I92" s="2" t="s">
        <v>635</v>
      </c>
      <c r="J92" s="2" t="s">
        <v>703</v>
      </c>
      <c r="K92" s="2" t="s">
        <v>911</v>
      </c>
      <c r="L92" s="2">
        <v>98</v>
      </c>
      <c r="M92" s="2">
        <v>74594.03</v>
      </c>
      <c r="N92" s="2">
        <v>56</v>
      </c>
      <c r="O92" t="s">
        <v>731</v>
      </c>
    </row>
    <row r="93" spans="1:15">
      <c r="A93" s="3" t="s">
        <v>65</v>
      </c>
      <c r="B93" s="3" t="s">
        <v>726</v>
      </c>
      <c r="C93" s="3" t="s">
        <v>837</v>
      </c>
      <c r="D93" s="3" t="s">
        <v>838</v>
      </c>
      <c r="E93" s="2" t="str">
        <f t="shared" si="8"/>
        <v>OK</v>
      </c>
      <c r="F93" s="15" t="s">
        <v>839</v>
      </c>
      <c r="G93" s="13" t="str">
        <f t="shared" si="7"/>
        <v>6746679280</v>
      </c>
      <c r="H93" s="2" t="str">
        <f t="shared" si="9"/>
        <v>yes</v>
      </c>
      <c r="I93" s="2" t="s">
        <v>635</v>
      </c>
      <c r="J93" s="3" t="s">
        <v>736</v>
      </c>
      <c r="K93" s="3" t="s">
        <v>840</v>
      </c>
      <c r="L93" s="3">
        <v>82</v>
      </c>
      <c r="M93" s="2">
        <v>8916.09</v>
      </c>
      <c r="N93" s="3">
        <v>53</v>
      </c>
      <c r="O93" t="s">
        <v>731</v>
      </c>
    </row>
    <row r="94" spans="1:15">
      <c r="A94" s="2" t="s">
        <v>415</v>
      </c>
      <c r="B94" s="2" t="s">
        <v>686</v>
      </c>
      <c r="C94" s="2" t="s">
        <v>733</v>
      </c>
      <c r="D94" s="2" t="s">
        <v>1023</v>
      </c>
      <c r="E94" s="2" t="str">
        <f t="shared" si="8"/>
        <v>INVALID</v>
      </c>
      <c r="F94" s="13" t="s">
        <v>1024</v>
      </c>
      <c r="G94" s="13" t="str">
        <f t="shared" si="7"/>
        <v>6904966590</v>
      </c>
      <c r="H94" s="2" t="str">
        <f t="shared" si="9"/>
        <v>yes</v>
      </c>
      <c r="I94" s="2" t="s">
        <v>635</v>
      </c>
      <c r="J94" s="2" t="s">
        <v>690</v>
      </c>
      <c r="K94" s="2" t="s">
        <v>1025</v>
      </c>
      <c r="L94" s="2">
        <v>50</v>
      </c>
      <c r="M94" s="2">
        <v>14240.88</v>
      </c>
      <c r="N94" s="2">
        <v>53</v>
      </c>
      <c r="O94" t="s">
        <v>720</v>
      </c>
    </row>
    <row r="95" spans="1:15">
      <c r="A95" s="3" t="s">
        <v>125</v>
      </c>
      <c r="B95" s="3" t="s">
        <v>726</v>
      </c>
      <c r="C95" s="3" t="s">
        <v>706</v>
      </c>
      <c r="D95" s="3" t="s">
        <v>1139</v>
      </c>
      <c r="E95" s="2" t="str">
        <f t="shared" si="8"/>
        <v>OK</v>
      </c>
      <c r="F95" s="15" t="s">
        <v>1140</v>
      </c>
      <c r="G95" s="13" t="str">
        <f t="shared" si="7"/>
        <v>6368287033</v>
      </c>
      <c r="H95" s="2" t="str">
        <f t="shared" si="9"/>
        <v>yes</v>
      </c>
      <c r="I95" s="2" t="s">
        <v>629</v>
      </c>
      <c r="J95" s="3" t="s">
        <v>703</v>
      </c>
      <c r="K95" s="3" t="s">
        <v>1141</v>
      </c>
      <c r="L95" s="3">
        <v>90</v>
      </c>
      <c r="M95" s="2">
        <v>51559.74</v>
      </c>
      <c r="N95" s="3">
        <v>56</v>
      </c>
      <c r="O95" t="s">
        <v>720</v>
      </c>
    </row>
    <row r="96" spans="1:15">
      <c r="A96" s="2" t="s">
        <v>451</v>
      </c>
      <c r="B96" s="2" t="s">
        <v>747</v>
      </c>
      <c r="C96" s="2" t="s">
        <v>706</v>
      </c>
      <c r="D96" s="2" t="s">
        <v>915</v>
      </c>
      <c r="E96" s="2" t="str">
        <f t="shared" si="8"/>
        <v>OK</v>
      </c>
      <c r="F96" s="13" t="s">
        <v>916</v>
      </c>
      <c r="G96" s="13" t="str">
        <f t="shared" si="7"/>
        <v>8070647070</v>
      </c>
      <c r="H96" s="2" t="str">
        <f t="shared" si="9"/>
        <v>yes</v>
      </c>
      <c r="I96" s="2" t="s">
        <v>622</v>
      </c>
      <c r="J96" s="2" t="s">
        <v>736</v>
      </c>
      <c r="K96" s="2" t="s">
        <v>917</v>
      </c>
      <c r="L96" s="2">
        <v>18</v>
      </c>
      <c r="M96" s="2">
        <v>31960.84</v>
      </c>
      <c r="N96" s="2">
        <v>54</v>
      </c>
      <c r="O96" t="s">
        <v>731</v>
      </c>
    </row>
    <row r="97" spans="1:15">
      <c r="A97" s="3" t="s">
        <v>421</v>
      </c>
      <c r="B97" s="3" t="s">
        <v>693</v>
      </c>
      <c r="C97" s="3" t="s">
        <v>866</v>
      </c>
      <c r="D97" s="3" t="s">
        <v>1032</v>
      </c>
      <c r="E97" s="2" t="str">
        <f t="shared" si="8"/>
        <v>OK</v>
      </c>
      <c r="F97" s="15" t="s">
        <v>1033</v>
      </c>
      <c r="G97" s="13" t="str">
        <f t="shared" si="7"/>
        <v>8779957226</v>
      </c>
      <c r="H97" s="2" t="str">
        <f t="shared" si="9"/>
        <v>yes</v>
      </c>
      <c r="I97" s="2" t="s">
        <v>622</v>
      </c>
      <c r="J97" s="3" t="s">
        <v>690</v>
      </c>
      <c r="K97" s="3" t="s">
        <v>1034</v>
      </c>
      <c r="L97" s="3">
        <v>29</v>
      </c>
      <c r="M97" s="2">
        <v>53038.18</v>
      </c>
      <c r="N97" s="3">
        <v>27</v>
      </c>
      <c r="O97" t="s">
        <v>731</v>
      </c>
    </row>
    <row r="98" spans="1:15">
      <c r="A98" s="2" t="s">
        <v>330</v>
      </c>
      <c r="B98" s="2" t="s">
        <v>747</v>
      </c>
      <c r="C98" s="2" t="s">
        <v>837</v>
      </c>
      <c r="D98" s="2" t="s">
        <v>1035</v>
      </c>
      <c r="E98" s="2" t="str">
        <f t="shared" si="8"/>
        <v>OK</v>
      </c>
      <c r="F98" s="13" t="s">
        <v>1036</v>
      </c>
      <c r="G98" s="13" t="str">
        <f t="shared" si="7"/>
        <v>9579275417</v>
      </c>
      <c r="H98" s="2" t="str">
        <f t="shared" si="9"/>
        <v>yes</v>
      </c>
      <c r="I98" s="2" t="s">
        <v>622</v>
      </c>
      <c r="J98" s="2" t="s">
        <v>690</v>
      </c>
      <c r="K98" s="2" t="s">
        <v>1037</v>
      </c>
      <c r="L98" s="2">
        <v>34</v>
      </c>
      <c r="M98" s="2">
        <v>73738.990000000005</v>
      </c>
      <c r="N98" s="2">
        <v>24</v>
      </c>
      <c r="O98" t="s">
        <v>720</v>
      </c>
    </row>
    <row r="99" spans="1:15">
      <c r="A99" s="3" t="s">
        <v>460</v>
      </c>
      <c r="B99" s="3" t="s">
        <v>743</v>
      </c>
      <c r="C99" s="3" t="s">
        <v>733</v>
      </c>
      <c r="D99" s="3" t="s">
        <v>1038</v>
      </c>
      <c r="E99" s="2" t="str">
        <f t="shared" si="8"/>
        <v>INVALID</v>
      </c>
      <c r="F99" s="15" t="s">
        <v>1039</v>
      </c>
      <c r="G99" s="13" t="str">
        <f t="shared" si="7"/>
        <v>7764798660</v>
      </c>
      <c r="H99" s="2" t="str">
        <f t="shared" si="9"/>
        <v>yes</v>
      </c>
      <c r="I99" s="2" t="s">
        <v>713</v>
      </c>
      <c r="J99" s="3" t="s">
        <v>697</v>
      </c>
      <c r="K99" s="3" t="s">
        <v>1040</v>
      </c>
      <c r="L99" s="3">
        <v>11</v>
      </c>
      <c r="M99" s="2">
        <v>643.61</v>
      </c>
      <c r="N99" s="3">
        <v>20</v>
      </c>
      <c r="O99" t="s">
        <v>720</v>
      </c>
    </row>
    <row r="100" spans="1:15">
      <c r="A100" s="2" t="s">
        <v>343</v>
      </c>
      <c r="B100" s="2" t="s">
        <v>705</v>
      </c>
      <c r="C100" s="2" t="s">
        <v>811</v>
      </c>
      <c r="D100" s="2" t="s">
        <v>1029</v>
      </c>
      <c r="E100" s="2" t="str">
        <f t="shared" ref="E100:E131" si="10">IF(ISNUMBER(FIND("@",D100)),"OK","INVALID")</f>
        <v>OK</v>
      </c>
      <c r="F100" s="13" t="s">
        <v>1030</v>
      </c>
      <c r="G100" s="13" t="str">
        <f t="shared" si="7"/>
        <v>6692547412</v>
      </c>
      <c r="H100" s="2" t="str">
        <f t="shared" ref="H100:H131" si="11">IF((LEFT(F100,3)="+91"),"yes","no")</f>
        <v>yes</v>
      </c>
      <c r="I100" s="2" t="s">
        <v>632</v>
      </c>
      <c r="J100" s="2" t="s">
        <v>736</v>
      </c>
      <c r="K100" s="2" t="s">
        <v>1031</v>
      </c>
      <c r="L100" s="2">
        <v>49</v>
      </c>
      <c r="M100" s="2">
        <v>59486.7</v>
      </c>
      <c r="N100" s="2">
        <v>54</v>
      </c>
      <c r="O100" t="s">
        <v>720</v>
      </c>
    </row>
    <row r="101" spans="1:15">
      <c r="A101" s="3" t="s">
        <v>566</v>
      </c>
      <c r="B101" s="3" t="s">
        <v>716</v>
      </c>
      <c r="C101" s="3" t="s">
        <v>739</v>
      </c>
      <c r="D101" s="3" t="s">
        <v>1080</v>
      </c>
      <c r="E101" s="2" t="str">
        <f t="shared" si="10"/>
        <v>OK</v>
      </c>
      <c r="F101" s="15" t="s">
        <v>1081</v>
      </c>
      <c r="G101" s="13" t="str">
        <f t="shared" si="7"/>
        <v>6630780803</v>
      </c>
      <c r="H101" s="2" t="str">
        <f t="shared" si="11"/>
        <v>yes</v>
      </c>
      <c r="I101" s="2" t="s">
        <v>713</v>
      </c>
      <c r="J101" s="3" t="s">
        <v>736</v>
      </c>
      <c r="K101" s="3" t="s">
        <v>1082</v>
      </c>
      <c r="L101" s="3">
        <v>84</v>
      </c>
      <c r="M101" s="2">
        <v>110517.83</v>
      </c>
      <c r="N101" s="3">
        <v>54</v>
      </c>
      <c r="O101" t="s">
        <v>720</v>
      </c>
    </row>
    <row r="102" spans="1:15">
      <c r="A102" s="2" t="s">
        <v>317</v>
      </c>
      <c r="B102" s="2" t="s">
        <v>1006</v>
      </c>
      <c r="C102" s="2" t="s">
        <v>706</v>
      </c>
      <c r="D102" s="2" t="s">
        <v>834</v>
      </c>
      <c r="E102" s="2" t="str">
        <f t="shared" si="10"/>
        <v>OK</v>
      </c>
      <c r="F102" s="13" t="s">
        <v>1047</v>
      </c>
      <c r="G102" s="13" t="str">
        <f t="shared" si="7"/>
        <v>6185303518</v>
      </c>
      <c r="H102" s="2" t="str">
        <f t="shared" si="11"/>
        <v>yes</v>
      </c>
      <c r="I102" s="2" t="s">
        <v>613</v>
      </c>
      <c r="J102" s="2" t="s">
        <v>697</v>
      </c>
      <c r="K102" s="2" t="s">
        <v>1048</v>
      </c>
      <c r="L102" s="2">
        <v>31</v>
      </c>
      <c r="M102" s="2">
        <v>37514.089999999997</v>
      </c>
      <c r="N102" s="2">
        <v>27</v>
      </c>
      <c r="O102" t="s">
        <v>720</v>
      </c>
    </row>
    <row r="103" spans="1:15">
      <c r="A103" s="3" t="s">
        <v>553</v>
      </c>
      <c r="B103" s="3" t="s">
        <v>721</v>
      </c>
      <c r="C103" s="3" t="s">
        <v>727</v>
      </c>
      <c r="D103" s="3" t="s">
        <v>851</v>
      </c>
      <c r="E103" s="2" t="str">
        <f t="shared" si="10"/>
        <v>OK</v>
      </c>
      <c r="F103" s="15" t="s">
        <v>852</v>
      </c>
      <c r="G103" s="13" t="str">
        <f t="shared" si="7"/>
        <v>7568937696</v>
      </c>
      <c r="H103" s="2" t="str">
        <f t="shared" si="11"/>
        <v>yes</v>
      </c>
      <c r="I103" s="2" t="s">
        <v>635</v>
      </c>
      <c r="J103" s="3" t="s">
        <v>703</v>
      </c>
      <c r="K103" s="3" t="s">
        <v>853</v>
      </c>
      <c r="L103" s="3">
        <v>45</v>
      </c>
      <c r="M103" s="2">
        <v>127884.74</v>
      </c>
      <c r="N103" s="3">
        <v>60</v>
      </c>
      <c r="O103" t="s">
        <v>731</v>
      </c>
    </row>
    <row r="104" spans="1:15">
      <c r="A104" s="2" t="s">
        <v>133</v>
      </c>
      <c r="B104" s="2" t="s">
        <v>686</v>
      </c>
      <c r="C104" s="2" t="s">
        <v>727</v>
      </c>
      <c r="D104" s="2" t="s">
        <v>1058</v>
      </c>
      <c r="E104" s="2" t="str">
        <f t="shared" si="10"/>
        <v>OK</v>
      </c>
      <c r="F104" s="13" t="s">
        <v>1059</v>
      </c>
      <c r="G104" s="13" t="str">
        <f t="shared" si="7"/>
        <v>6692044390</v>
      </c>
      <c r="H104" s="2" t="str">
        <f t="shared" si="11"/>
        <v>yes</v>
      </c>
      <c r="I104" s="2" t="s">
        <v>613</v>
      </c>
      <c r="J104" s="2" t="s">
        <v>736</v>
      </c>
      <c r="K104" s="2" t="s">
        <v>1060</v>
      </c>
      <c r="L104" s="2">
        <v>117</v>
      </c>
      <c r="M104" s="2">
        <v>48137.919999999998</v>
      </c>
      <c r="N104" s="2">
        <v>55</v>
      </c>
      <c r="O104" t="s">
        <v>720</v>
      </c>
    </row>
    <row r="105" spans="1:15">
      <c r="A105" s="3" t="s">
        <v>338</v>
      </c>
      <c r="B105" s="3" t="s">
        <v>805</v>
      </c>
      <c r="C105" s="3" t="s">
        <v>706</v>
      </c>
      <c r="D105" s="3" t="s">
        <v>1055</v>
      </c>
      <c r="E105" s="2" t="str">
        <f t="shared" si="10"/>
        <v>OK</v>
      </c>
      <c r="F105" s="15" t="s">
        <v>1056</v>
      </c>
      <c r="G105" s="13" t="str">
        <f t="shared" si="7"/>
        <v>8544113848</v>
      </c>
      <c r="H105" s="2" t="str">
        <f t="shared" si="11"/>
        <v>yes</v>
      </c>
      <c r="I105" s="2" t="s">
        <v>632</v>
      </c>
      <c r="J105" s="3" t="s">
        <v>690</v>
      </c>
      <c r="K105" s="3" t="s">
        <v>1057</v>
      </c>
      <c r="L105" s="3">
        <v>103</v>
      </c>
      <c r="M105" s="2">
        <v>155315.31</v>
      </c>
      <c r="N105" s="3">
        <v>41</v>
      </c>
      <c r="O105" t="s">
        <v>731</v>
      </c>
    </row>
    <row r="106" spans="1:15">
      <c r="A106" s="3" t="s">
        <v>336</v>
      </c>
      <c r="B106" s="3" t="s">
        <v>721</v>
      </c>
      <c r="C106" s="3" t="s">
        <v>751</v>
      </c>
      <c r="D106" s="3" t="s">
        <v>794</v>
      </c>
      <c r="E106" s="2" t="str">
        <f t="shared" si="10"/>
        <v>OK</v>
      </c>
      <c r="F106" s="15" t="s">
        <v>795</v>
      </c>
      <c r="G106" s="13" t="str">
        <f t="shared" si="7"/>
        <v>6443348057</v>
      </c>
      <c r="H106" s="2" t="str">
        <f t="shared" si="11"/>
        <v>yes</v>
      </c>
      <c r="I106" s="2" t="s">
        <v>713</v>
      </c>
      <c r="J106" s="3" t="s">
        <v>736</v>
      </c>
      <c r="K106" s="3" t="s">
        <v>796</v>
      </c>
      <c r="L106" s="3">
        <v>23</v>
      </c>
      <c r="M106" s="2">
        <v>88870.71</v>
      </c>
      <c r="N106" s="3">
        <v>58</v>
      </c>
      <c r="O106" t="s">
        <v>720</v>
      </c>
    </row>
    <row r="107" spans="1:15">
      <c r="A107" s="3" t="s">
        <v>301</v>
      </c>
      <c r="B107" s="3" t="s">
        <v>771</v>
      </c>
      <c r="C107" s="3" t="s">
        <v>764</v>
      </c>
      <c r="D107" s="3" t="s">
        <v>1061</v>
      </c>
      <c r="E107" s="2" t="str">
        <f t="shared" si="10"/>
        <v>OK</v>
      </c>
      <c r="F107" s="15" t="s">
        <v>1062</v>
      </c>
      <c r="G107" s="13" t="str">
        <f t="shared" si="7"/>
        <v>6578635360</v>
      </c>
      <c r="H107" s="2" t="str">
        <f t="shared" si="11"/>
        <v>yes</v>
      </c>
      <c r="I107" s="2" t="s">
        <v>610</v>
      </c>
      <c r="J107" s="3" t="s">
        <v>697</v>
      </c>
      <c r="K107" s="3" t="s">
        <v>1063</v>
      </c>
      <c r="L107" s="3">
        <v>79</v>
      </c>
      <c r="M107" s="2">
        <v>144340.21</v>
      </c>
      <c r="N107" s="3">
        <v>33</v>
      </c>
      <c r="O107" t="s">
        <v>731</v>
      </c>
    </row>
    <row r="108" spans="1:15">
      <c r="A108" s="3" t="s">
        <v>406</v>
      </c>
      <c r="B108" s="3" t="s">
        <v>721</v>
      </c>
      <c r="C108" s="3" t="s">
        <v>800</v>
      </c>
      <c r="D108" s="3" t="s">
        <v>893</v>
      </c>
      <c r="E108" s="2" t="str">
        <f t="shared" si="10"/>
        <v>OK</v>
      </c>
      <c r="F108" s="15" t="s">
        <v>894</v>
      </c>
      <c r="G108" s="13" t="str">
        <f t="shared" si="7"/>
        <v>7743078982</v>
      </c>
      <c r="H108" s="2" t="str">
        <f t="shared" si="11"/>
        <v>yes</v>
      </c>
      <c r="I108" s="2" t="s">
        <v>632</v>
      </c>
      <c r="J108" s="3" t="s">
        <v>736</v>
      </c>
      <c r="K108" s="3" t="s">
        <v>895</v>
      </c>
      <c r="L108" s="3">
        <v>39</v>
      </c>
      <c r="M108" s="2">
        <v>2281.5100000000002</v>
      </c>
      <c r="N108" s="3">
        <v>58</v>
      </c>
      <c r="O108" t="s">
        <v>731</v>
      </c>
    </row>
    <row r="109" spans="1:15">
      <c r="A109" s="3" t="s">
        <v>387</v>
      </c>
      <c r="B109" s="3" t="s">
        <v>1006</v>
      </c>
      <c r="C109" s="3" t="s">
        <v>759</v>
      </c>
      <c r="D109" s="3" t="s">
        <v>1007</v>
      </c>
      <c r="E109" s="2" t="str">
        <f t="shared" si="10"/>
        <v>OK</v>
      </c>
      <c r="F109" s="15" t="s">
        <v>1008</v>
      </c>
      <c r="G109" s="13" t="str">
        <f t="shared" si="7"/>
        <v>6486786005</v>
      </c>
      <c r="H109" s="2" t="str">
        <f t="shared" si="11"/>
        <v>yes</v>
      </c>
      <c r="I109" s="2" t="s">
        <v>635</v>
      </c>
      <c r="J109" s="3" t="s">
        <v>703</v>
      </c>
      <c r="K109" s="3" t="s">
        <v>1009</v>
      </c>
      <c r="L109" s="3">
        <v>32</v>
      </c>
      <c r="M109" s="2">
        <v>146614.28</v>
      </c>
      <c r="N109" s="3">
        <v>62</v>
      </c>
      <c r="O109" t="s">
        <v>720</v>
      </c>
    </row>
    <row r="110" spans="1:15">
      <c r="A110" s="2" t="s">
        <v>231</v>
      </c>
      <c r="B110" s="2" t="s">
        <v>699</v>
      </c>
      <c r="C110" s="2" t="s">
        <v>866</v>
      </c>
      <c r="D110" s="2" t="s">
        <v>1070</v>
      </c>
      <c r="E110" s="2" t="str">
        <f t="shared" si="10"/>
        <v>OK</v>
      </c>
      <c r="F110" s="13" t="s">
        <v>1071</v>
      </c>
      <c r="G110" s="13" t="str">
        <f t="shared" si="7"/>
        <v>6168323465</v>
      </c>
      <c r="H110" s="2" t="str">
        <f t="shared" si="11"/>
        <v>yes</v>
      </c>
      <c r="I110" s="2" t="s">
        <v>629</v>
      </c>
      <c r="J110" s="2" t="s">
        <v>697</v>
      </c>
      <c r="K110" s="2" t="s">
        <v>1072</v>
      </c>
      <c r="L110" s="2">
        <v>88</v>
      </c>
      <c r="M110" s="2">
        <v>77804.42</v>
      </c>
      <c r="N110" s="2">
        <v>69</v>
      </c>
      <c r="O110" t="s">
        <v>720</v>
      </c>
    </row>
    <row r="111" spans="1:15">
      <c r="A111" s="3" t="s">
        <v>266</v>
      </c>
      <c r="B111" s="3" t="s">
        <v>743</v>
      </c>
      <c r="C111" s="3" t="s">
        <v>811</v>
      </c>
      <c r="D111" s="3" t="s">
        <v>1073</v>
      </c>
      <c r="E111" s="2" t="str">
        <f t="shared" si="10"/>
        <v>OK</v>
      </c>
      <c r="F111" s="15" t="s">
        <v>1074</v>
      </c>
      <c r="G111" s="13" t="str">
        <f t="shared" si="7"/>
        <v>9825946852</v>
      </c>
      <c r="H111" s="2" t="str">
        <f t="shared" si="11"/>
        <v>yes</v>
      </c>
      <c r="I111" s="2" t="s">
        <v>626</v>
      </c>
      <c r="J111" s="3" t="s">
        <v>697</v>
      </c>
      <c r="K111" s="3" t="s">
        <v>1075</v>
      </c>
      <c r="L111" s="3">
        <v>35</v>
      </c>
      <c r="M111" s="2">
        <v>105051.92</v>
      </c>
      <c r="N111" s="3">
        <v>37</v>
      </c>
      <c r="O111" t="s">
        <v>731</v>
      </c>
    </row>
    <row r="112" spans="1:15">
      <c r="A112" s="2" t="s">
        <v>1076</v>
      </c>
      <c r="B112" s="2" t="s">
        <v>716</v>
      </c>
      <c r="C112" s="2" t="s">
        <v>687</v>
      </c>
      <c r="D112" s="2" t="s">
        <v>1077</v>
      </c>
      <c r="E112" s="2" t="str">
        <f t="shared" si="10"/>
        <v>OK</v>
      </c>
      <c r="F112" s="13" t="s">
        <v>1078</v>
      </c>
      <c r="G112" s="13" t="str">
        <f t="shared" si="7"/>
        <v>8457877922</v>
      </c>
      <c r="H112" s="2" t="str">
        <f t="shared" si="11"/>
        <v>yes</v>
      </c>
      <c r="I112" s="2" t="s">
        <v>635</v>
      </c>
      <c r="J112" s="2" t="s">
        <v>690</v>
      </c>
      <c r="K112" s="2" t="s">
        <v>1079</v>
      </c>
      <c r="L112" s="2">
        <v>37</v>
      </c>
      <c r="M112" s="2">
        <v>99761.06</v>
      </c>
      <c r="N112" s="2">
        <v>23</v>
      </c>
      <c r="O112" t="s">
        <v>731</v>
      </c>
    </row>
    <row r="113" spans="1:15">
      <c r="A113" s="2" t="s">
        <v>200</v>
      </c>
      <c r="B113" s="2" t="s">
        <v>1006</v>
      </c>
      <c r="C113" s="2" t="s">
        <v>687</v>
      </c>
      <c r="D113" s="2" t="s">
        <v>1142</v>
      </c>
      <c r="E113" s="2" t="str">
        <f t="shared" si="10"/>
        <v>INVALID</v>
      </c>
      <c r="F113" s="13" t="s">
        <v>1143</v>
      </c>
      <c r="G113" s="13" t="str">
        <f t="shared" si="7"/>
        <v>6930261655</v>
      </c>
      <c r="H113" s="2" t="str">
        <f t="shared" si="11"/>
        <v>yes</v>
      </c>
      <c r="I113" s="2" t="s">
        <v>629</v>
      </c>
      <c r="J113" s="2" t="s">
        <v>736</v>
      </c>
      <c r="K113" s="2" t="s">
        <v>1112</v>
      </c>
      <c r="L113" s="2">
        <v>80</v>
      </c>
      <c r="M113" s="2">
        <v>73587.63</v>
      </c>
      <c r="N113" s="2">
        <v>59</v>
      </c>
      <c r="O113" t="s">
        <v>720</v>
      </c>
    </row>
    <row r="114" spans="1:15">
      <c r="A114" s="2" t="s">
        <v>225</v>
      </c>
      <c r="B114" s="2" t="s">
        <v>732</v>
      </c>
      <c r="C114" s="2" t="s">
        <v>694</v>
      </c>
      <c r="D114" s="2" t="s">
        <v>1083</v>
      </c>
      <c r="E114" s="2" t="str">
        <f t="shared" si="10"/>
        <v>OK</v>
      </c>
      <c r="F114" s="13" t="s">
        <v>1084</v>
      </c>
      <c r="G114" s="13" t="str">
        <f t="shared" si="7"/>
        <v>6240140248</v>
      </c>
      <c r="H114" s="2" t="str">
        <f t="shared" si="11"/>
        <v>yes</v>
      </c>
      <c r="I114" s="2" t="s">
        <v>606</v>
      </c>
      <c r="J114" s="2" t="s">
        <v>697</v>
      </c>
      <c r="K114" s="2" t="s">
        <v>1085</v>
      </c>
      <c r="L114" s="2">
        <v>96</v>
      </c>
      <c r="M114" s="2">
        <v>122801.33</v>
      </c>
      <c r="N114" s="2">
        <v>43</v>
      </c>
      <c r="O114" t="s">
        <v>720</v>
      </c>
    </row>
    <row r="115" spans="1:15">
      <c r="A115" s="2" t="s">
        <v>368</v>
      </c>
      <c r="B115" s="2" t="s">
        <v>705</v>
      </c>
      <c r="C115" s="2" t="s">
        <v>899</v>
      </c>
      <c r="D115" s="2" t="s">
        <v>903</v>
      </c>
      <c r="E115" s="2" t="str">
        <f t="shared" si="10"/>
        <v>OK</v>
      </c>
      <c r="F115" s="13" t="s">
        <v>904</v>
      </c>
      <c r="G115" s="13" t="str">
        <f t="shared" si="7"/>
        <v>9726826559</v>
      </c>
      <c r="H115" s="2" t="str">
        <f t="shared" si="11"/>
        <v>yes</v>
      </c>
      <c r="I115" s="2" t="s">
        <v>622</v>
      </c>
      <c r="J115" s="2" t="s">
        <v>703</v>
      </c>
      <c r="K115" s="2" t="s">
        <v>905</v>
      </c>
      <c r="L115" s="2">
        <v>67</v>
      </c>
      <c r="M115" s="2">
        <v>95316.5</v>
      </c>
      <c r="N115" s="2">
        <v>64</v>
      </c>
      <c r="O115" t="s">
        <v>720</v>
      </c>
    </row>
    <row r="116" spans="1:15">
      <c r="A116" s="3" t="s">
        <v>83</v>
      </c>
      <c r="B116" s="3" t="s">
        <v>827</v>
      </c>
      <c r="C116" s="3" t="s">
        <v>727</v>
      </c>
      <c r="D116" s="3" t="s">
        <v>1093</v>
      </c>
      <c r="E116" s="2" t="str">
        <f t="shared" si="10"/>
        <v>OK</v>
      </c>
      <c r="F116" s="15" t="s">
        <v>1094</v>
      </c>
      <c r="G116" s="13" t="str">
        <f t="shared" si="7"/>
        <v>9961879157</v>
      </c>
      <c r="H116" s="2" t="str">
        <f t="shared" si="11"/>
        <v>yes</v>
      </c>
      <c r="I116" s="2" t="s">
        <v>606</v>
      </c>
      <c r="J116" s="3" t="s">
        <v>703</v>
      </c>
      <c r="K116" s="3" t="s">
        <v>1095</v>
      </c>
      <c r="L116" s="3">
        <v>35</v>
      </c>
      <c r="M116" s="2">
        <v>22537.59</v>
      </c>
      <c r="N116" s="3">
        <v>64</v>
      </c>
      <c r="O116" t="s">
        <v>720</v>
      </c>
    </row>
    <row r="117" spans="1:15">
      <c r="A117" s="3" t="s">
        <v>465</v>
      </c>
      <c r="B117" s="3" t="s">
        <v>771</v>
      </c>
      <c r="C117" s="3" t="s">
        <v>751</v>
      </c>
      <c r="D117" s="3" t="s">
        <v>772</v>
      </c>
      <c r="E117" s="2" t="str">
        <f t="shared" si="10"/>
        <v>OK</v>
      </c>
      <c r="F117" s="15" t="s">
        <v>773</v>
      </c>
      <c r="G117" s="13" t="str">
        <f t="shared" si="7"/>
        <v>7952678750</v>
      </c>
      <c r="H117" s="2" t="str">
        <f t="shared" si="11"/>
        <v>yes</v>
      </c>
      <c r="I117" s="2" t="s">
        <v>613</v>
      </c>
      <c r="J117" s="3" t="s">
        <v>703</v>
      </c>
      <c r="K117" s="3" t="s">
        <v>774</v>
      </c>
      <c r="L117" s="3">
        <v>35</v>
      </c>
      <c r="M117" s="2">
        <v>163541.51999999999</v>
      </c>
      <c r="N117" s="3">
        <v>65</v>
      </c>
      <c r="O117" t="s">
        <v>720</v>
      </c>
    </row>
    <row r="118" spans="1:15">
      <c r="A118" s="2" t="s">
        <v>346</v>
      </c>
      <c r="B118" s="2" t="s">
        <v>805</v>
      </c>
      <c r="C118" s="2" t="s">
        <v>706</v>
      </c>
      <c r="D118" s="2" t="s">
        <v>1096</v>
      </c>
      <c r="E118" s="2" t="str">
        <f t="shared" si="10"/>
        <v>OK</v>
      </c>
      <c r="F118" s="13" t="s">
        <v>1097</v>
      </c>
      <c r="G118" s="13" t="str">
        <f t="shared" si="7"/>
        <v>6773255350</v>
      </c>
      <c r="H118" s="2" t="str">
        <f t="shared" si="11"/>
        <v>yes</v>
      </c>
      <c r="I118" s="2" t="s">
        <v>610</v>
      </c>
      <c r="J118" s="2" t="s">
        <v>690</v>
      </c>
      <c r="K118" s="2" t="s">
        <v>1098</v>
      </c>
      <c r="L118" s="2">
        <v>53</v>
      </c>
      <c r="M118" s="2">
        <v>104878.51</v>
      </c>
      <c r="N118" s="2">
        <v>22</v>
      </c>
      <c r="O118" t="s">
        <v>720</v>
      </c>
    </row>
    <row r="119" spans="1:15">
      <c r="A119" s="2" t="s">
        <v>418</v>
      </c>
      <c r="B119" s="2" t="s">
        <v>699</v>
      </c>
      <c r="C119" s="2" t="s">
        <v>779</v>
      </c>
      <c r="D119" s="2" t="s">
        <v>933</v>
      </c>
      <c r="E119" s="2" t="str">
        <f t="shared" si="10"/>
        <v>OK</v>
      </c>
      <c r="F119" s="13" t="s">
        <v>934</v>
      </c>
      <c r="G119" s="13" t="str">
        <f t="shared" si="7"/>
        <v>6596864325</v>
      </c>
      <c r="H119" s="2" t="str">
        <f t="shared" si="11"/>
        <v>yes</v>
      </c>
      <c r="I119" s="2" t="s">
        <v>610</v>
      </c>
      <c r="J119" s="2" t="s">
        <v>703</v>
      </c>
      <c r="K119" s="2" t="s">
        <v>935</v>
      </c>
      <c r="L119" s="2">
        <v>89</v>
      </c>
      <c r="M119" s="2">
        <v>12425.14</v>
      </c>
      <c r="N119" s="2">
        <v>65</v>
      </c>
      <c r="O119" t="s">
        <v>731</v>
      </c>
    </row>
    <row r="120" spans="1:15">
      <c r="A120" s="2" t="s">
        <v>1102</v>
      </c>
      <c r="B120" s="2" t="s">
        <v>693</v>
      </c>
      <c r="C120" s="2" t="s">
        <v>811</v>
      </c>
      <c r="D120" s="2" t="s">
        <v>1103</v>
      </c>
      <c r="E120" s="2" t="str">
        <f t="shared" si="10"/>
        <v>OK</v>
      </c>
      <c r="F120" s="13" t="s">
        <v>1104</v>
      </c>
      <c r="G120" s="13" t="str">
        <f t="shared" si="7"/>
        <v>7741421625</v>
      </c>
      <c r="H120" s="2" t="str">
        <f t="shared" si="11"/>
        <v>yes</v>
      </c>
      <c r="I120" s="2" t="s">
        <v>632</v>
      </c>
      <c r="J120" s="2" t="s">
        <v>690</v>
      </c>
      <c r="K120" s="2" t="s">
        <v>1105</v>
      </c>
      <c r="L120" s="2">
        <v>110</v>
      </c>
      <c r="M120" s="2">
        <v>167121.07</v>
      </c>
      <c r="N120" s="2">
        <v>38</v>
      </c>
      <c r="O120" t="s">
        <v>720</v>
      </c>
    </row>
    <row r="121" spans="1:15">
      <c r="A121" s="3" t="s">
        <v>308</v>
      </c>
      <c r="B121" s="3" t="s">
        <v>763</v>
      </c>
      <c r="C121" s="3" t="s">
        <v>779</v>
      </c>
      <c r="D121" s="3" t="s">
        <v>831</v>
      </c>
      <c r="E121" s="2" t="str">
        <f t="shared" si="10"/>
        <v>OK</v>
      </c>
      <c r="F121" s="15" t="s">
        <v>832</v>
      </c>
      <c r="G121" s="13" t="str">
        <f t="shared" si="7"/>
        <v>8337965699</v>
      </c>
      <c r="H121" s="2" t="str">
        <f t="shared" si="11"/>
        <v>yes</v>
      </c>
      <c r="I121" s="2" t="s">
        <v>606</v>
      </c>
      <c r="J121" s="3" t="s">
        <v>703</v>
      </c>
      <c r="K121" s="3" t="s">
        <v>833</v>
      </c>
      <c r="L121" s="3">
        <v>68</v>
      </c>
      <c r="M121" s="2">
        <v>64951.11</v>
      </c>
      <c r="N121" s="3">
        <v>68</v>
      </c>
      <c r="O121" t="s">
        <v>720</v>
      </c>
    </row>
    <row r="122" spans="1:15">
      <c r="A122" s="3" t="s">
        <v>391</v>
      </c>
      <c r="B122" s="3" t="s">
        <v>747</v>
      </c>
      <c r="C122" s="3" t="s">
        <v>694</v>
      </c>
      <c r="D122" s="3" t="s">
        <v>748</v>
      </c>
      <c r="E122" s="2" t="str">
        <f t="shared" si="10"/>
        <v>OK</v>
      </c>
      <c r="F122" s="15" t="s">
        <v>749</v>
      </c>
      <c r="G122" s="13" t="str">
        <f t="shared" si="7"/>
        <v>9898653873</v>
      </c>
      <c r="H122" s="2" t="str">
        <f t="shared" si="11"/>
        <v>yes</v>
      </c>
      <c r="I122" s="2" t="s">
        <v>610</v>
      </c>
      <c r="J122" s="3" t="s">
        <v>736</v>
      </c>
      <c r="K122" s="3" t="s">
        <v>750</v>
      </c>
      <c r="L122" s="3">
        <v>111</v>
      </c>
      <c r="M122" s="2">
        <v>11679.65</v>
      </c>
      <c r="N122" s="3">
        <v>60</v>
      </c>
      <c r="O122" t="s">
        <v>731</v>
      </c>
    </row>
    <row r="123" spans="1:15">
      <c r="A123" s="3" t="s">
        <v>1106</v>
      </c>
      <c r="B123" s="3" t="s">
        <v>686</v>
      </c>
      <c r="C123" s="3" t="s">
        <v>837</v>
      </c>
      <c r="D123" s="3" t="s">
        <v>1107</v>
      </c>
      <c r="E123" s="2" t="str">
        <f t="shared" si="10"/>
        <v>OK</v>
      </c>
      <c r="F123" s="15" t="s">
        <v>1108</v>
      </c>
      <c r="G123" s="13" t="str">
        <f t="shared" si="7"/>
        <v>8574220936</v>
      </c>
      <c r="H123" s="2" t="str">
        <f t="shared" si="11"/>
        <v>yes</v>
      </c>
      <c r="I123" s="2" t="s">
        <v>713</v>
      </c>
      <c r="J123" s="3" t="s">
        <v>703</v>
      </c>
      <c r="K123" s="3" t="s">
        <v>1109</v>
      </c>
      <c r="L123" s="3">
        <v>9</v>
      </c>
      <c r="M123" s="2">
        <v>26389.97</v>
      </c>
      <c r="N123" s="3">
        <v>68</v>
      </c>
      <c r="O123" t="s">
        <v>720</v>
      </c>
    </row>
    <row r="124" spans="1:15">
      <c r="A124" s="2" t="s">
        <v>587</v>
      </c>
      <c r="B124" s="2" t="s">
        <v>771</v>
      </c>
      <c r="C124" s="2" t="s">
        <v>700</v>
      </c>
      <c r="D124" s="2" t="s">
        <v>1010</v>
      </c>
      <c r="E124" s="2" t="str">
        <f t="shared" si="10"/>
        <v>OK</v>
      </c>
      <c r="F124" s="13" t="s">
        <v>1011</v>
      </c>
      <c r="G124" s="13" t="str">
        <f t="shared" si="7"/>
        <v>8068098256</v>
      </c>
      <c r="H124" s="2" t="str">
        <f t="shared" si="11"/>
        <v>yes</v>
      </c>
      <c r="I124" s="2" t="s">
        <v>635</v>
      </c>
      <c r="J124" s="2" t="s">
        <v>703</v>
      </c>
      <c r="K124" s="2" t="s">
        <v>1012</v>
      </c>
      <c r="L124" s="2">
        <v>21</v>
      </c>
      <c r="M124" s="2">
        <v>55427.23</v>
      </c>
      <c r="N124" s="2">
        <v>70</v>
      </c>
      <c r="O124" t="s">
        <v>731</v>
      </c>
    </row>
    <row r="125" spans="1:15">
      <c r="A125" s="3" t="s">
        <v>1120</v>
      </c>
      <c r="B125" s="3" t="s">
        <v>686</v>
      </c>
      <c r="C125" s="3" t="s">
        <v>706</v>
      </c>
      <c r="D125" s="3" t="s">
        <v>1121</v>
      </c>
      <c r="E125" s="2" t="str">
        <f t="shared" si="10"/>
        <v>OK</v>
      </c>
      <c r="F125" s="15" t="s">
        <v>1122</v>
      </c>
      <c r="G125" s="13" t="str">
        <f t="shared" si="7"/>
        <v>9773167333</v>
      </c>
      <c r="H125" s="2" t="str">
        <f t="shared" si="11"/>
        <v>yes</v>
      </c>
      <c r="I125" s="2" t="s">
        <v>622</v>
      </c>
      <c r="J125" s="3" t="s">
        <v>690</v>
      </c>
      <c r="K125" s="3" t="s">
        <v>1123</v>
      </c>
      <c r="L125" s="3">
        <v>15</v>
      </c>
      <c r="M125" s="2">
        <v>20201.34</v>
      </c>
      <c r="N125" s="3">
        <v>70</v>
      </c>
      <c r="O125" t="s">
        <v>731</v>
      </c>
    </row>
    <row r="126" spans="1:15">
      <c r="A126" s="2" t="s">
        <v>103</v>
      </c>
      <c r="B126" s="2" t="s">
        <v>790</v>
      </c>
      <c r="C126" s="2" t="s">
        <v>700</v>
      </c>
      <c r="D126" s="2" t="s">
        <v>1124</v>
      </c>
      <c r="E126" s="2" t="str">
        <f t="shared" si="10"/>
        <v>INVALID</v>
      </c>
      <c r="F126" s="13" t="s">
        <v>1125</v>
      </c>
      <c r="G126" s="13" t="str">
        <f t="shared" si="7"/>
        <v>9090432112</v>
      </c>
      <c r="H126" s="2" t="str">
        <f t="shared" si="11"/>
        <v>yes</v>
      </c>
      <c r="I126" s="2" t="s">
        <v>617</v>
      </c>
      <c r="J126" s="2" t="s">
        <v>736</v>
      </c>
      <c r="K126" s="2" t="s">
        <v>1126</v>
      </c>
      <c r="L126" s="2">
        <v>82</v>
      </c>
      <c r="M126" s="2">
        <v>114416.93</v>
      </c>
      <c r="N126" s="2">
        <v>62</v>
      </c>
      <c r="O126" t="s">
        <v>720</v>
      </c>
    </row>
    <row r="127" spans="1:15">
      <c r="A127" s="3" t="s">
        <v>137</v>
      </c>
      <c r="B127" s="3" t="s">
        <v>805</v>
      </c>
      <c r="C127" s="3" t="s">
        <v>837</v>
      </c>
      <c r="D127" s="3" t="s">
        <v>1127</v>
      </c>
      <c r="E127" s="2" t="str">
        <f t="shared" si="10"/>
        <v>OK</v>
      </c>
      <c r="F127" s="15" t="s">
        <v>1128</v>
      </c>
      <c r="G127" s="13" t="str">
        <f t="shared" si="7"/>
        <v>9126625885</v>
      </c>
      <c r="H127" s="2" t="str">
        <f t="shared" si="11"/>
        <v>yes</v>
      </c>
      <c r="I127" s="2" t="s">
        <v>626</v>
      </c>
      <c r="J127" s="3" t="s">
        <v>736</v>
      </c>
      <c r="K127" s="3" t="s">
        <v>1129</v>
      </c>
      <c r="L127" s="3">
        <v>59</v>
      </c>
      <c r="M127" s="2">
        <v>167341.76000000001</v>
      </c>
      <c r="N127" s="3">
        <v>62</v>
      </c>
      <c r="O127" t="s">
        <v>731</v>
      </c>
    </row>
    <row r="128" spans="1:15">
      <c r="A128" s="2" t="s">
        <v>129</v>
      </c>
      <c r="B128" s="2" t="s">
        <v>705</v>
      </c>
      <c r="C128" s="2" t="s">
        <v>706</v>
      </c>
      <c r="D128" s="2" t="s">
        <v>1130</v>
      </c>
      <c r="E128" s="2" t="str">
        <f t="shared" si="10"/>
        <v>OK</v>
      </c>
      <c r="F128" s="13" t="s">
        <v>1131</v>
      </c>
      <c r="G128" s="13" t="str">
        <f t="shared" si="7"/>
        <v>8842173377</v>
      </c>
      <c r="H128" s="2" t="str">
        <f t="shared" si="11"/>
        <v>yes</v>
      </c>
      <c r="I128" s="2" t="s">
        <v>610</v>
      </c>
      <c r="J128" s="2" t="s">
        <v>690</v>
      </c>
      <c r="K128" s="2" t="s">
        <v>1132</v>
      </c>
      <c r="L128" s="2">
        <v>80</v>
      </c>
      <c r="M128" s="2">
        <v>131755.29</v>
      </c>
      <c r="N128" s="2">
        <v>54</v>
      </c>
      <c r="O128" t="s">
        <v>720</v>
      </c>
    </row>
    <row r="129" spans="1:15">
      <c r="A129" s="2" t="s">
        <v>250</v>
      </c>
      <c r="B129" s="2" t="s">
        <v>790</v>
      </c>
      <c r="C129" s="2" t="s">
        <v>775</v>
      </c>
      <c r="D129" s="2" t="s">
        <v>791</v>
      </c>
      <c r="E129" s="2" t="str">
        <f t="shared" si="10"/>
        <v>INVALID</v>
      </c>
      <c r="F129" s="13" t="s">
        <v>792</v>
      </c>
      <c r="G129" s="13" t="str">
        <f t="shared" si="7"/>
        <v>7391874847</v>
      </c>
      <c r="H129" s="2" t="str">
        <f t="shared" si="11"/>
        <v>yes</v>
      </c>
      <c r="I129" s="2" t="s">
        <v>713</v>
      </c>
      <c r="J129" s="2" t="s">
        <v>736</v>
      </c>
      <c r="K129" s="2" t="s">
        <v>793</v>
      </c>
      <c r="L129" s="2">
        <v>70</v>
      </c>
      <c r="M129" s="2">
        <v>154359.45000000001</v>
      </c>
      <c r="N129" s="2">
        <v>67</v>
      </c>
      <c r="O129" t="s">
        <v>720</v>
      </c>
    </row>
    <row r="130" spans="1:15">
      <c r="A130" s="2" t="s">
        <v>889</v>
      </c>
      <c r="B130" s="2" t="s">
        <v>693</v>
      </c>
      <c r="C130" s="2" t="s">
        <v>694</v>
      </c>
      <c r="D130" s="2" t="s">
        <v>890</v>
      </c>
      <c r="E130" s="2" t="str">
        <f t="shared" si="10"/>
        <v>OK</v>
      </c>
      <c r="F130" s="13" t="s">
        <v>891</v>
      </c>
      <c r="G130" s="13" t="str">
        <f t="shared" si="7"/>
        <v>8217799930</v>
      </c>
      <c r="H130" s="2" t="str">
        <f t="shared" si="11"/>
        <v>yes</v>
      </c>
      <c r="I130" s="2" t="s">
        <v>622</v>
      </c>
      <c r="J130" s="2" t="s">
        <v>703</v>
      </c>
      <c r="K130" s="2" t="s">
        <v>892</v>
      </c>
      <c r="L130" s="2">
        <v>20</v>
      </c>
      <c r="M130" s="2">
        <v>157934.18</v>
      </c>
      <c r="N130" s="4">
        <f>MEDIAN(N61:N123)</f>
        <v>51</v>
      </c>
      <c r="O130" t="s">
        <v>720</v>
      </c>
    </row>
    <row r="131" spans="1:15">
      <c r="A131" s="3" t="s">
        <v>236</v>
      </c>
      <c r="B131" s="3" t="s">
        <v>885</v>
      </c>
      <c r="C131" s="3" t="s">
        <v>775</v>
      </c>
      <c r="D131" s="3" t="s">
        <v>930</v>
      </c>
      <c r="E131" s="2" t="str">
        <f t="shared" si="10"/>
        <v>OK</v>
      </c>
      <c r="F131" s="15" t="s">
        <v>931</v>
      </c>
      <c r="G131" s="13" t="str">
        <f t="shared" ref="G131:G151" si="12">RIGHT(F131,10)</f>
        <v>9788308237</v>
      </c>
      <c r="H131" s="2" t="str">
        <f t="shared" si="11"/>
        <v>yes</v>
      </c>
      <c r="I131" s="2" t="s">
        <v>635</v>
      </c>
      <c r="J131" s="3" t="s">
        <v>703</v>
      </c>
      <c r="K131" s="3" t="s">
        <v>932</v>
      </c>
      <c r="L131" s="3">
        <v>2</v>
      </c>
      <c r="M131" s="2">
        <v>125213.9</v>
      </c>
      <c r="N131" s="4">
        <f>MEDIAN(N62:N124)</f>
        <v>52</v>
      </c>
      <c r="O131" t="s">
        <v>720</v>
      </c>
    </row>
    <row r="132" spans="1:15">
      <c r="A132" s="2" t="s">
        <v>571</v>
      </c>
      <c r="B132" s="2" t="s">
        <v>771</v>
      </c>
      <c r="C132" s="2" t="s">
        <v>722</v>
      </c>
      <c r="D132" s="2" t="s">
        <v>927</v>
      </c>
      <c r="E132" s="2" t="str">
        <f t="shared" ref="E132:E150" si="13">IF(ISNUMBER(FIND("@",D132)),"OK","INVALID")</f>
        <v>OK</v>
      </c>
      <c r="F132" s="13" t="s">
        <v>928</v>
      </c>
      <c r="G132" s="13" t="str">
        <f t="shared" si="12"/>
        <v>8155373421</v>
      </c>
      <c r="H132" s="2" t="str">
        <f t="shared" ref="H132:H150" si="14">IF((LEFT(F132,3)="+91"),"yes","no")</f>
        <v>yes</v>
      </c>
      <c r="I132" s="2" t="s">
        <v>713</v>
      </c>
      <c r="J132" s="2" t="s">
        <v>736</v>
      </c>
      <c r="K132" s="2" t="s">
        <v>929</v>
      </c>
      <c r="L132" s="2">
        <v>69</v>
      </c>
      <c r="M132" s="2">
        <v>199396.13</v>
      </c>
      <c r="N132" s="2">
        <v>67</v>
      </c>
      <c r="O132" t="s">
        <v>720</v>
      </c>
    </row>
    <row r="133" spans="1:15">
      <c r="A133" s="3" t="s">
        <v>186</v>
      </c>
      <c r="B133" s="3" t="s">
        <v>763</v>
      </c>
      <c r="C133" s="3" t="s">
        <v>700</v>
      </c>
      <c r="D133" s="3" t="s">
        <v>1099</v>
      </c>
      <c r="E133" s="2" t="str">
        <f t="shared" si="13"/>
        <v>OK</v>
      </c>
      <c r="F133" s="15" t="s">
        <v>1100</v>
      </c>
      <c r="G133" s="13" t="str">
        <f t="shared" si="12"/>
        <v>8218954863</v>
      </c>
      <c r="H133" s="2" t="str">
        <f t="shared" si="14"/>
        <v>yes</v>
      </c>
      <c r="I133" s="2" t="s">
        <v>613</v>
      </c>
      <c r="J133" s="3" t="s">
        <v>703</v>
      </c>
      <c r="K133" s="3" t="s">
        <v>1101</v>
      </c>
      <c r="L133" s="3">
        <v>25</v>
      </c>
      <c r="M133" s="2">
        <v>13802.63</v>
      </c>
      <c r="N133" s="4">
        <f>ROUNDDOWN(MEDIAN(N65:N124),0)</f>
        <v>52</v>
      </c>
      <c r="O133" t="s">
        <v>731</v>
      </c>
    </row>
    <row r="134" spans="1:15">
      <c r="A134" s="2" t="s">
        <v>377</v>
      </c>
      <c r="B134" s="2" t="s">
        <v>716</v>
      </c>
      <c r="C134" s="2" t="s">
        <v>775</v>
      </c>
      <c r="D134" s="2" t="s">
        <v>1172</v>
      </c>
      <c r="E134" s="2" t="str">
        <f t="shared" si="13"/>
        <v>OK</v>
      </c>
      <c r="F134" s="13" t="s">
        <v>1173</v>
      </c>
      <c r="G134" s="13" t="str">
        <f t="shared" si="12"/>
        <v>8580582653</v>
      </c>
      <c r="H134" s="2" t="str">
        <f t="shared" si="14"/>
        <v>yes</v>
      </c>
      <c r="I134" s="2" t="s">
        <v>617</v>
      </c>
      <c r="J134" s="2" t="s">
        <v>736</v>
      </c>
      <c r="K134" s="2" t="s">
        <v>1174</v>
      </c>
      <c r="L134" s="2">
        <v>14</v>
      </c>
      <c r="M134" s="2">
        <v>111824.97</v>
      </c>
      <c r="N134" s="2">
        <v>67</v>
      </c>
      <c r="O134" t="s">
        <v>731</v>
      </c>
    </row>
    <row r="135" spans="1:15">
      <c r="A135" s="3" t="s">
        <v>589</v>
      </c>
      <c r="B135" s="3" t="s">
        <v>763</v>
      </c>
      <c r="C135" s="3" t="s">
        <v>694</v>
      </c>
      <c r="D135" s="3" t="s">
        <v>1150</v>
      </c>
      <c r="E135" s="2" t="str">
        <f t="shared" si="13"/>
        <v>OK</v>
      </c>
      <c r="F135" s="15" t="s">
        <v>1151</v>
      </c>
      <c r="G135" s="13" t="str">
        <f t="shared" si="12"/>
        <v>8024705373</v>
      </c>
      <c r="H135" s="2" t="str">
        <f t="shared" si="14"/>
        <v>yes</v>
      </c>
      <c r="I135" s="2" t="s">
        <v>622</v>
      </c>
      <c r="J135" s="3" t="s">
        <v>690</v>
      </c>
      <c r="K135" s="3" t="s">
        <v>1152</v>
      </c>
      <c r="L135" s="3">
        <v>42</v>
      </c>
      <c r="M135" s="2">
        <v>186077.1</v>
      </c>
      <c r="N135" s="3">
        <v>64</v>
      </c>
      <c r="O135" t="s">
        <v>731</v>
      </c>
    </row>
    <row r="136" spans="1:15">
      <c r="A136" s="2" t="s">
        <v>1153</v>
      </c>
      <c r="B136" s="2" t="s">
        <v>747</v>
      </c>
      <c r="C136" s="2" t="s">
        <v>811</v>
      </c>
      <c r="D136" s="2" t="s">
        <v>1154</v>
      </c>
      <c r="E136" s="2" t="str">
        <f t="shared" si="13"/>
        <v>OK</v>
      </c>
      <c r="F136" s="13" t="s">
        <v>1155</v>
      </c>
      <c r="G136" s="13" t="str">
        <f t="shared" si="12"/>
        <v>9725035441</v>
      </c>
      <c r="H136" s="2" t="str">
        <f t="shared" si="14"/>
        <v>yes</v>
      </c>
      <c r="I136" s="2" t="s">
        <v>713</v>
      </c>
      <c r="J136" s="2" t="s">
        <v>690</v>
      </c>
      <c r="K136" s="2" t="s">
        <v>1156</v>
      </c>
      <c r="L136" s="2">
        <v>3</v>
      </c>
      <c r="M136" s="2">
        <v>42143.25</v>
      </c>
      <c r="N136" s="2">
        <v>69</v>
      </c>
      <c r="O136" t="s">
        <v>720</v>
      </c>
    </row>
    <row r="137" spans="1:15">
      <c r="A137" s="3" t="s">
        <v>467</v>
      </c>
      <c r="B137" s="3" t="s">
        <v>686</v>
      </c>
      <c r="C137" s="3" t="s">
        <v>700</v>
      </c>
      <c r="D137" s="3" t="s">
        <v>1157</v>
      </c>
      <c r="E137" s="2" t="str">
        <f t="shared" si="13"/>
        <v>OK</v>
      </c>
      <c r="F137" s="15" t="s">
        <v>1158</v>
      </c>
      <c r="G137" s="13" t="str">
        <f t="shared" si="12"/>
        <v>8068750029</v>
      </c>
      <c r="H137" s="2" t="str">
        <f t="shared" si="14"/>
        <v>yes</v>
      </c>
      <c r="I137" s="2" t="s">
        <v>606</v>
      </c>
      <c r="J137" s="3" t="s">
        <v>690</v>
      </c>
      <c r="K137" s="3" t="s">
        <v>1159</v>
      </c>
      <c r="L137" s="3">
        <v>20</v>
      </c>
      <c r="M137" s="2">
        <v>98535.4</v>
      </c>
      <c r="N137" s="3">
        <v>54</v>
      </c>
      <c r="O137" t="s">
        <v>731</v>
      </c>
    </row>
    <row r="138" spans="1:15">
      <c r="A138" s="2" t="s">
        <v>281</v>
      </c>
      <c r="B138" s="2" t="s">
        <v>885</v>
      </c>
      <c r="C138" s="2" t="s">
        <v>694</v>
      </c>
      <c r="D138" s="2" t="s">
        <v>1160</v>
      </c>
      <c r="E138" s="2" t="str">
        <f t="shared" si="13"/>
        <v>INVALID</v>
      </c>
      <c r="F138" s="13" t="s">
        <v>1161</v>
      </c>
      <c r="G138" s="13" t="str">
        <f t="shared" si="12"/>
        <v>6732578761</v>
      </c>
      <c r="H138" s="2" t="str">
        <f t="shared" si="14"/>
        <v>yes</v>
      </c>
      <c r="I138" s="2" t="s">
        <v>613</v>
      </c>
      <c r="J138" s="2" t="s">
        <v>697</v>
      </c>
      <c r="K138" s="2" t="s">
        <v>1162</v>
      </c>
      <c r="L138" s="2">
        <v>7</v>
      </c>
      <c r="M138" s="2">
        <v>178008.58</v>
      </c>
      <c r="N138" s="2">
        <v>42</v>
      </c>
      <c r="O138" t="s">
        <v>731</v>
      </c>
    </row>
    <row r="139" spans="1:15">
      <c r="A139" s="2" t="s">
        <v>545</v>
      </c>
      <c r="B139" s="2" t="s">
        <v>827</v>
      </c>
      <c r="C139" s="2" t="s">
        <v>706</v>
      </c>
      <c r="D139" s="2" t="s">
        <v>1136</v>
      </c>
      <c r="E139" s="2" t="str">
        <f t="shared" si="13"/>
        <v>OK</v>
      </c>
      <c r="F139" s="13" t="s">
        <v>1137</v>
      </c>
      <c r="G139" s="13" t="str">
        <f t="shared" si="12"/>
        <v>7217428333</v>
      </c>
      <c r="H139" s="2" t="str">
        <f t="shared" si="14"/>
        <v>yes</v>
      </c>
      <c r="I139" s="2" t="s">
        <v>606</v>
      </c>
      <c r="J139" s="2" t="s">
        <v>703</v>
      </c>
      <c r="K139" s="2" t="s">
        <v>1138</v>
      </c>
      <c r="L139" s="2">
        <v>35</v>
      </c>
      <c r="M139" s="2">
        <v>140412.15</v>
      </c>
      <c r="N139" s="4">
        <f>MEDIAN(N70:N132)</f>
        <v>53</v>
      </c>
      <c r="O139" t="s">
        <v>720</v>
      </c>
    </row>
    <row r="140" spans="1:15">
      <c r="A140" s="2" t="s">
        <v>218</v>
      </c>
      <c r="B140" s="2" t="s">
        <v>763</v>
      </c>
      <c r="C140" s="2" t="s">
        <v>727</v>
      </c>
      <c r="D140" s="2" t="s">
        <v>1166</v>
      </c>
      <c r="E140" s="2" t="str">
        <f t="shared" si="13"/>
        <v>OK</v>
      </c>
      <c r="F140" s="13" t="s">
        <v>1167</v>
      </c>
      <c r="G140" s="13" t="str">
        <f t="shared" si="12"/>
        <v>9566384410</v>
      </c>
      <c r="H140" s="2" t="str">
        <f t="shared" si="14"/>
        <v>yes</v>
      </c>
      <c r="I140" s="2" t="s">
        <v>632</v>
      </c>
      <c r="J140" s="2" t="s">
        <v>690</v>
      </c>
      <c r="K140" s="2" t="s">
        <v>1168</v>
      </c>
      <c r="L140" s="2">
        <v>3</v>
      </c>
      <c r="M140" s="2">
        <v>160303.48000000001</v>
      </c>
      <c r="N140" s="2">
        <v>67</v>
      </c>
      <c r="O140" t="s">
        <v>720</v>
      </c>
    </row>
    <row r="141" spans="1:15">
      <c r="A141" s="3" t="s">
        <v>324</v>
      </c>
      <c r="B141" s="3" t="s">
        <v>716</v>
      </c>
      <c r="C141" s="3" t="s">
        <v>899</v>
      </c>
      <c r="D141" s="3" t="s">
        <v>1194</v>
      </c>
      <c r="E141" s="2" t="str">
        <f t="shared" si="13"/>
        <v>OK</v>
      </c>
      <c r="F141" s="15" t="s">
        <v>1195</v>
      </c>
      <c r="G141" s="13" t="str">
        <f t="shared" si="12"/>
        <v>8676674027</v>
      </c>
      <c r="H141" s="2" t="str">
        <f t="shared" si="14"/>
        <v>yes</v>
      </c>
      <c r="I141" s="2" t="s">
        <v>635</v>
      </c>
      <c r="J141" s="3" t="s">
        <v>736</v>
      </c>
      <c r="K141" s="3" t="s">
        <v>1196</v>
      </c>
      <c r="L141" s="3">
        <v>2</v>
      </c>
      <c r="M141" s="2">
        <v>8610.2999999999993</v>
      </c>
      <c r="N141" s="3">
        <v>67</v>
      </c>
      <c r="O141" t="s">
        <v>720</v>
      </c>
    </row>
    <row r="142" spans="1:15">
      <c r="A142" s="2" t="s">
        <v>375</v>
      </c>
      <c r="B142" s="2" t="s">
        <v>844</v>
      </c>
      <c r="C142" s="2" t="s">
        <v>800</v>
      </c>
      <c r="D142" s="2" t="s">
        <v>1003</v>
      </c>
      <c r="E142" s="2" t="str">
        <f t="shared" si="13"/>
        <v>OK</v>
      </c>
      <c r="F142" s="13" t="s">
        <v>1004</v>
      </c>
      <c r="G142" s="13" t="str">
        <f t="shared" si="12"/>
        <v>9093474499</v>
      </c>
      <c r="H142" s="2" t="str">
        <f t="shared" si="14"/>
        <v>yes</v>
      </c>
      <c r="I142" s="2" t="s">
        <v>629</v>
      </c>
      <c r="J142" s="2" t="s">
        <v>736</v>
      </c>
      <c r="K142" s="2" t="s">
        <v>1005</v>
      </c>
      <c r="L142" s="2">
        <v>51</v>
      </c>
      <c r="M142" s="2">
        <v>69859.100000000006</v>
      </c>
      <c r="N142" s="2">
        <v>70</v>
      </c>
      <c r="O142" t="s">
        <v>731</v>
      </c>
    </row>
    <row r="143" spans="1:15">
      <c r="A143" s="3" t="s">
        <v>494</v>
      </c>
      <c r="B143" s="3" t="s">
        <v>686</v>
      </c>
      <c r="C143" s="3" t="s">
        <v>733</v>
      </c>
      <c r="D143" s="3" t="s">
        <v>1175</v>
      </c>
      <c r="E143" s="2" t="str">
        <f t="shared" si="13"/>
        <v>OK</v>
      </c>
      <c r="F143" s="15" t="s">
        <v>1176</v>
      </c>
      <c r="G143" s="13" t="str">
        <f t="shared" si="12"/>
        <v>6612943949</v>
      </c>
      <c r="H143" s="2" t="str">
        <f t="shared" si="14"/>
        <v>yes</v>
      </c>
      <c r="I143" s="2" t="s">
        <v>635</v>
      </c>
      <c r="J143" s="3" t="s">
        <v>690</v>
      </c>
      <c r="K143" s="3" t="s">
        <v>1177</v>
      </c>
      <c r="L143" s="3">
        <v>37</v>
      </c>
      <c r="M143" s="2">
        <v>187679.65</v>
      </c>
      <c r="N143" s="3">
        <v>39</v>
      </c>
      <c r="O143" t="s">
        <v>720</v>
      </c>
    </row>
    <row r="144" spans="1:15">
      <c r="A144" s="2" t="s">
        <v>1178</v>
      </c>
      <c r="B144" s="2" t="s">
        <v>755</v>
      </c>
      <c r="C144" s="2" t="s">
        <v>866</v>
      </c>
      <c r="D144" s="2" t="s">
        <v>1179</v>
      </c>
      <c r="E144" s="2" t="str">
        <f t="shared" si="13"/>
        <v>OK</v>
      </c>
      <c r="F144" s="13" t="s">
        <v>1180</v>
      </c>
      <c r="G144" s="13" t="str">
        <f t="shared" si="12"/>
        <v>9412850018</v>
      </c>
      <c r="H144" s="2" t="str">
        <f t="shared" si="14"/>
        <v>yes</v>
      </c>
      <c r="I144" s="2" t="s">
        <v>622</v>
      </c>
      <c r="J144" s="2" t="s">
        <v>690</v>
      </c>
      <c r="K144" s="2" t="s">
        <v>1181</v>
      </c>
      <c r="L144" s="2">
        <v>35</v>
      </c>
      <c r="M144" s="2">
        <v>83482.66</v>
      </c>
      <c r="N144" s="2">
        <v>40</v>
      </c>
      <c r="O144" t="s">
        <v>720</v>
      </c>
    </row>
    <row r="145" spans="1:15">
      <c r="A145" s="3" t="s">
        <v>119</v>
      </c>
      <c r="B145" s="3" t="s">
        <v>790</v>
      </c>
      <c r="C145" s="3" t="s">
        <v>687</v>
      </c>
      <c r="D145" s="3" t="s">
        <v>1182</v>
      </c>
      <c r="E145" s="2" t="str">
        <f t="shared" si="13"/>
        <v>OK</v>
      </c>
      <c r="F145" s="15" t="s">
        <v>1183</v>
      </c>
      <c r="G145" s="13" t="str">
        <f t="shared" si="12"/>
        <v>8502446090</v>
      </c>
      <c r="H145" s="2" t="str">
        <f t="shared" si="14"/>
        <v>yes</v>
      </c>
      <c r="I145" s="2" t="s">
        <v>617</v>
      </c>
      <c r="J145" s="3" t="s">
        <v>690</v>
      </c>
      <c r="K145" s="3" t="s">
        <v>1184</v>
      </c>
      <c r="L145" s="3">
        <v>17</v>
      </c>
      <c r="M145" s="2">
        <v>74129.2</v>
      </c>
      <c r="N145" s="4">
        <f>MEDIAN(N14:N74)</f>
        <v>41</v>
      </c>
      <c r="O145" t="s">
        <v>731</v>
      </c>
    </row>
    <row r="146" spans="1:15">
      <c r="A146" s="3" t="s">
        <v>514</v>
      </c>
      <c r="B146" s="3" t="s">
        <v>771</v>
      </c>
      <c r="C146" s="3" t="s">
        <v>722</v>
      </c>
      <c r="D146" s="3" t="s">
        <v>1133</v>
      </c>
      <c r="E146" s="2" t="str">
        <f t="shared" si="13"/>
        <v>OK</v>
      </c>
      <c r="F146" s="15" t="s">
        <v>1134</v>
      </c>
      <c r="G146" s="13" t="str">
        <f t="shared" si="12"/>
        <v>9527470850</v>
      </c>
      <c r="H146" s="2" t="str">
        <f t="shared" si="14"/>
        <v>yes</v>
      </c>
      <c r="I146" s="2" t="s">
        <v>713</v>
      </c>
      <c r="J146" s="3" t="s">
        <v>736</v>
      </c>
      <c r="K146" s="3" t="s">
        <v>1135</v>
      </c>
      <c r="L146" s="3">
        <v>58</v>
      </c>
      <c r="M146" s="2">
        <v>105401.36</v>
      </c>
      <c r="N146" s="3">
        <v>70</v>
      </c>
      <c r="O146" t="s">
        <v>720</v>
      </c>
    </row>
    <row r="147" spans="1:15">
      <c r="A147" s="3" t="s">
        <v>278</v>
      </c>
      <c r="B147" s="3" t="s">
        <v>743</v>
      </c>
      <c r="C147" s="3" t="s">
        <v>687</v>
      </c>
      <c r="D147" s="3" t="s">
        <v>1188</v>
      </c>
      <c r="E147" s="2" t="str">
        <f t="shared" si="13"/>
        <v>OK</v>
      </c>
      <c r="F147" s="15" t="s">
        <v>1189</v>
      </c>
      <c r="G147" s="13" t="str">
        <f t="shared" si="12"/>
        <v>9296344958</v>
      </c>
      <c r="H147" s="2" t="str">
        <f t="shared" si="14"/>
        <v>yes</v>
      </c>
      <c r="I147" s="2" t="s">
        <v>713</v>
      </c>
      <c r="J147" s="3" t="s">
        <v>697</v>
      </c>
      <c r="K147" s="3" t="s">
        <v>1190</v>
      </c>
      <c r="L147" s="3">
        <v>57</v>
      </c>
      <c r="M147" s="2">
        <v>164816.76999999999</v>
      </c>
      <c r="N147" s="3">
        <v>44</v>
      </c>
      <c r="O147" t="s">
        <v>731</v>
      </c>
    </row>
    <row r="148" spans="1:15">
      <c r="A148" s="2" t="s">
        <v>205</v>
      </c>
      <c r="B148" s="2" t="s">
        <v>716</v>
      </c>
      <c r="C148" s="2" t="s">
        <v>751</v>
      </c>
      <c r="D148" s="2" t="s">
        <v>1191</v>
      </c>
      <c r="E148" s="2" t="str">
        <f t="shared" si="13"/>
        <v>OK</v>
      </c>
      <c r="F148" s="13" t="s">
        <v>1192</v>
      </c>
      <c r="G148" s="13" t="str">
        <f t="shared" si="12"/>
        <v>6781186472</v>
      </c>
      <c r="H148" s="2" t="str">
        <f t="shared" si="14"/>
        <v>yes</v>
      </c>
      <c r="I148" s="2" t="s">
        <v>635</v>
      </c>
      <c r="J148" s="2" t="s">
        <v>690</v>
      </c>
      <c r="K148" s="2" t="s">
        <v>1193</v>
      </c>
      <c r="L148" s="2">
        <v>94</v>
      </c>
      <c r="M148" s="2">
        <v>53530.22</v>
      </c>
      <c r="N148" s="2">
        <v>25</v>
      </c>
      <c r="O148" t="s">
        <v>720</v>
      </c>
    </row>
    <row r="149" spans="1:15">
      <c r="A149" s="2" t="s">
        <v>222</v>
      </c>
      <c r="B149" s="2" t="s">
        <v>743</v>
      </c>
      <c r="C149" s="2" t="s">
        <v>739</v>
      </c>
      <c r="D149" s="2" t="s">
        <v>744</v>
      </c>
      <c r="E149" s="2" t="str">
        <f t="shared" si="13"/>
        <v>OK</v>
      </c>
      <c r="F149" s="13" t="s">
        <v>745</v>
      </c>
      <c r="G149" s="13" t="str">
        <f t="shared" si="12"/>
        <v>0000000000</v>
      </c>
      <c r="H149" s="2" t="str">
        <f t="shared" si="14"/>
        <v>no</v>
      </c>
      <c r="I149" s="2" t="s">
        <v>613</v>
      </c>
      <c r="J149" s="2" t="s">
        <v>736</v>
      </c>
      <c r="K149" s="2" t="s">
        <v>746</v>
      </c>
      <c r="L149" s="2">
        <v>42</v>
      </c>
      <c r="M149" s="2">
        <v>190352.99</v>
      </c>
      <c r="N149" s="4">
        <f>MEDIAN(N85:N142)</f>
        <v>54.5</v>
      </c>
      <c r="O149" t="s">
        <v>731</v>
      </c>
    </row>
    <row r="150" spans="1:15">
      <c r="A150" s="3" t="s">
        <v>72</v>
      </c>
      <c r="B150" s="3" t="s">
        <v>732</v>
      </c>
      <c r="C150" s="3" t="s">
        <v>800</v>
      </c>
      <c r="D150" s="3" t="s">
        <v>879</v>
      </c>
      <c r="E150" s="2" t="str">
        <f t="shared" si="13"/>
        <v>OK</v>
      </c>
      <c r="F150" s="15" t="s">
        <v>880</v>
      </c>
      <c r="G150" s="13" t="str">
        <f t="shared" si="12"/>
        <v>7616319802</v>
      </c>
      <c r="H150" s="2" t="str">
        <f t="shared" si="14"/>
        <v>yes</v>
      </c>
      <c r="I150" s="2" t="s">
        <v>610</v>
      </c>
      <c r="J150" s="3" t="s">
        <v>736</v>
      </c>
      <c r="K150" s="3" t="s">
        <v>881</v>
      </c>
      <c r="L150" s="3">
        <v>47</v>
      </c>
      <c r="M150" s="2">
        <v>33888.39</v>
      </c>
      <c r="N150" s="4">
        <f>MEDIAN(N91:N146)</f>
        <v>55.5</v>
      </c>
      <c r="O150" t="s">
        <v>720</v>
      </c>
    </row>
    <row r="151" spans="1:15">
      <c r="A151" s="3" t="s">
        <v>1200</v>
      </c>
      <c r="B151" s="3" t="s">
        <v>844</v>
      </c>
      <c r="C151" s="3" t="s">
        <v>800</v>
      </c>
      <c r="D151" s="3" t="s">
        <v>1201</v>
      </c>
      <c r="E151" s="2" t="str">
        <f t="shared" ref="E151" si="15">IF(ISNUMBER(FIND("@",D151)),"OK","INVALID")</f>
        <v>OK</v>
      </c>
      <c r="F151" s="15" t="s">
        <v>1202</v>
      </c>
      <c r="G151" s="13" t="str">
        <f t="shared" si="12"/>
        <v>8193890388</v>
      </c>
      <c r="H151" s="2" t="str">
        <f t="shared" ref="H151" si="16">IF((LEFT(F151,3)="+91"),"yes","no")</f>
        <v>yes</v>
      </c>
      <c r="I151" s="2" t="s">
        <v>713</v>
      </c>
      <c r="J151" s="3" t="s">
        <v>690</v>
      </c>
      <c r="K151" s="3" t="s">
        <v>1203</v>
      </c>
      <c r="L151" s="3">
        <v>12</v>
      </c>
      <c r="M151" s="2">
        <v>61128.959999999999</v>
      </c>
      <c r="N151" s="3">
        <v>65</v>
      </c>
      <c r="O151" t="s">
        <v>731</v>
      </c>
    </row>
  </sheetData>
  <autoFilter ref="A1:Q151" xr:uid="{00000000-0001-0000-0400-000000000000}"/>
  <sortState xmlns:xlrd2="http://schemas.microsoft.com/office/spreadsheetml/2017/richdata2" ref="A4:O139">
    <sortCondition ref="N1:N151"/>
  </sortState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8800"/>
  </sheetPr>
  <dimension ref="A1:M50"/>
  <sheetViews>
    <sheetView workbookViewId="0">
      <pane ySplit="1" topLeftCell="A10" activePane="bottomLeft" state="frozen"/>
      <selection activeCell="B26" sqref="B26"/>
      <selection pane="bottomLeft" activeCell="B26" sqref="B26"/>
    </sheetView>
  </sheetViews>
  <sheetFormatPr defaultColWidth="9" defaultRowHeight="14.5"/>
  <cols>
    <col min="1" max="1" width="13" customWidth="1"/>
    <col min="2" max="2" width="23" customWidth="1"/>
    <col min="3" max="3" width="16" customWidth="1"/>
    <col min="4" max="4" width="17.6328125" customWidth="1"/>
    <col min="5" max="5" width="14" customWidth="1"/>
    <col min="6" max="6" width="13" customWidth="1"/>
    <col min="7" max="8" width="21" customWidth="1"/>
    <col min="9" max="9" width="14" customWidth="1"/>
    <col min="10" max="10" width="16" customWidth="1"/>
    <col min="11" max="11" width="11" customWidth="1"/>
    <col min="12" max="12" width="15" customWidth="1"/>
    <col min="13" max="13" width="16" customWidth="1"/>
  </cols>
  <sheetData>
    <row r="1" spans="1:13" ht="30" customHeight="1">
      <c r="A1" s="1" t="s">
        <v>48</v>
      </c>
      <c r="B1" s="1" t="s">
        <v>49</v>
      </c>
      <c r="C1" s="1" t="s">
        <v>50</v>
      </c>
      <c r="D1" s="1" t="s">
        <v>640</v>
      </c>
      <c r="E1" s="1" t="s">
        <v>641</v>
      </c>
      <c r="F1" s="1" t="s">
        <v>642</v>
      </c>
      <c r="G1" s="1" t="s">
        <v>643</v>
      </c>
      <c r="H1" s="1" t="s">
        <v>1268</v>
      </c>
      <c r="I1" s="1" t="s">
        <v>1270</v>
      </c>
      <c r="J1" s="1" t="s">
        <v>644</v>
      </c>
      <c r="K1" s="1" t="s">
        <v>645</v>
      </c>
      <c r="L1" s="1" t="s">
        <v>646</v>
      </c>
      <c r="M1" s="1" t="s">
        <v>647</v>
      </c>
    </row>
    <row r="2" spans="1:13">
      <c r="A2" s="2" t="s">
        <v>193</v>
      </c>
      <c r="B2" s="2" t="s">
        <v>109</v>
      </c>
      <c r="C2" s="2" t="s">
        <v>69</v>
      </c>
      <c r="D2" s="2" t="s">
        <v>648</v>
      </c>
      <c r="E2" s="2" t="s">
        <v>649</v>
      </c>
      <c r="F2" s="2">
        <v>2216.23</v>
      </c>
      <c r="G2" s="2">
        <v>5688.5</v>
      </c>
      <c r="H2" s="2" t="str">
        <f>IF(G2&lt;F2,"review","ok")</f>
        <v>ok</v>
      </c>
      <c r="I2" s="2">
        <v>0</v>
      </c>
      <c r="J2" s="2">
        <v>36</v>
      </c>
      <c r="K2" s="2" t="s">
        <v>650</v>
      </c>
      <c r="L2" s="2">
        <v>28</v>
      </c>
      <c r="M2" s="2" t="s">
        <v>620</v>
      </c>
    </row>
    <row r="3" spans="1:13">
      <c r="A3" s="3" t="s">
        <v>112</v>
      </c>
      <c r="B3" s="3" t="s">
        <v>257</v>
      </c>
      <c r="C3" s="2" t="s">
        <v>69</v>
      </c>
      <c r="D3" s="2" t="s">
        <v>651</v>
      </c>
      <c r="E3" s="3" t="s">
        <v>652</v>
      </c>
      <c r="F3" s="3">
        <v>272.08999999999997</v>
      </c>
      <c r="G3" s="3">
        <v>3407.82</v>
      </c>
      <c r="H3" s="2" t="str">
        <f t="shared" ref="H3:H50" si="0">IF(G3&lt;F3,"review","ok")</f>
        <v>ok</v>
      </c>
      <c r="I3" s="3">
        <v>0</v>
      </c>
      <c r="J3" s="3">
        <v>41</v>
      </c>
      <c r="K3" s="2" t="s">
        <v>653</v>
      </c>
      <c r="L3" s="3">
        <v>18</v>
      </c>
      <c r="M3" s="3" t="s">
        <v>620</v>
      </c>
    </row>
    <row r="4" spans="1:13">
      <c r="A4" s="2" t="s">
        <v>138</v>
      </c>
      <c r="B4" s="2" t="s">
        <v>127</v>
      </c>
      <c r="C4" s="2" t="s">
        <v>69</v>
      </c>
      <c r="D4" s="2" t="s">
        <v>648</v>
      </c>
      <c r="E4" s="2" t="s">
        <v>654</v>
      </c>
      <c r="F4" s="2">
        <v>1140.71</v>
      </c>
      <c r="G4" s="2">
        <v>3404.87</v>
      </c>
      <c r="H4" s="2" t="str">
        <f t="shared" si="0"/>
        <v>ok</v>
      </c>
      <c r="I4" s="2">
        <v>0</v>
      </c>
      <c r="J4" s="2">
        <v>18</v>
      </c>
      <c r="K4" s="2" t="s">
        <v>655</v>
      </c>
      <c r="L4" s="2">
        <v>12</v>
      </c>
      <c r="M4" s="2" t="s">
        <v>620</v>
      </c>
    </row>
    <row r="5" spans="1:13">
      <c r="A5" s="3" t="s">
        <v>408</v>
      </c>
      <c r="B5" s="3" t="s">
        <v>75</v>
      </c>
      <c r="C5" s="2" t="s">
        <v>69</v>
      </c>
      <c r="D5" s="2" t="s">
        <v>651</v>
      </c>
      <c r="E5" s="3" t="s">
        <v>656</v>
      </c>
      <c r="F5" s="17">
        <v>800</v>
      </c>
      <c r="G5" s="3">
        <v>1178.1099999999999</v>
      </c>
      <c r="H5" s="2" t="str">
        <f t="shared" si="0"/>
        <v>ok</v>
      </c>
      <c r="I5" s="3">
        <v>0</v>
      </c>
      <c r="J5" s="3">
        <v>54</v>
      </c>
      <c r="K5" s="2" t="s">
        <v>655</v>
      </c>
      <c r="L5" s="3">
        <v>18</v>
      </c>
      <c r="M5" s="3" t="s">
        <v>620</v>
      </c>
    </row>
    <row r="6" spans="1:13">
      <c r="A6" s="2" t="s">
        <v>60</v>
      </c>
      <c r="B6" s="2" t="s">
        <v>68</v>
      </c>
      <c r="C6" s="2" t="s">
        <v>69</v>
      </c>
      <c r="D6" s="2" t="s">
        <v>651</v>
      </c>
      <c r="E6" s="2" t="s">
        <v>657</v>
      </c>
      <c r="F6" s="2">
        <v>821.85</v>
      </c>
      <c r="G6" s="2">
        <v>5928.76</v>
      </c>
      <c r="H6" s="2" t="str">
        <f t="shared" si="0"/>
        <v>ok</v>
      </c>
      <c r="I6" s="3">
        <v>485</v>
      </c>
      <c r="J6" s="2">
        <v>42</v>
      </c>
      <c r="K6" s="2" t="s">
        <v>658</v>
      </c>
      <c r="L6" s="2">
        <v>5</v>
      </c>
      <c r="M6" s="2" t="s">
        <v>659</v>
      </c>
    </row>
    <row r="7" spans="1:13">
      <c r="A7" s="3" t="s">
        <v>327</v>
      </c>
      <c r="B7" s="3" t="s">
        <v>146</v>
      </c>
      <c r="C7" s="2" t="s">
        <v>69</v>
      </c>
      <c r="D7" s="2" t="s">
        <v>651</v>
      </c>
      <c r="E7" s="3" t="s">
        <v>660</v>
      </c>
      <c r="F7" s="3">
        <v>3542.07</v>
      </c>
      <c r="G7" s="3">
        <v>5296.86</v>
      </c>
      <c r="H7" s="2" t="str">
        <f t="shared" si="0"/>
        <v>ok</v>
      </c>
      <c r="I7" s="3">
        <v>359</v>
      </c>
      <c r="J7" s="3">
        <v>23</v>
      </c>
      <c r="K7" s="2" t="s">
        <v>658</v>
      </c>
      <c r="L7" s="3">
        <v>12</v>
      </c>
      <c r="M7" s="3" t="s">
        <v>659</v>
      </c>
    </row>
    <row r="8" spans="1:13">
      <c r="A8" s="2" t="s">
        <v>141</v>
      </c>
      <c r="B8" s="2" t="s">
        <v>142</v>
      </c>
      <c r="C8" s="2" t="s">
        <v>69</v>
      </c>
      <c r="D8" s="2" t="s">
        <v>648</v>
      </c>
      <c r="E8" s="2" t="s">
        <v>661</v>
      </c>
      <c r="F8" s="2">
        <v>2117.48</v>
      </c>
      <c r="G8" s="2">
        <v>2983.83</v>
      </c>
      <c r="H8" s="2" t="str">
        <f t="shared" si="0"/>
        <v>ok</v>
      </c>
      <c r="I8" s="3">
        <v>485</v>
      </c>
      <c r="J8" s="2">
        <v>10</v>
      </c>
      <c r="K8" s="2" t="s">
        <v>658</v>
      </c>
      <c r="L8" s="2">
        <v>5</v>
      </c>
      <c r="M8" s="2" t="s">
        <v>659</v>
      </c>
    </row>
    <row r="9" spans="1:13">
      <c r="A9" s="3" t="s">
        <v>116</v>
      </c>
      <c r="B9" s="3" t="s">
        <v>149</v>
      </c>
      <c r="C9" s="2" t="s">
        <v>92</v>
      </c>
      <c r="D9" s="2" t="s">
        <v>648</v>
      </c>
      <c r="E9" s="3" t="s">
        <v>649</v>
      </c>
      <c r="F9" s="3">
        <v>2534.09</v>
      </c>
      <c r="G9" s="3">
        <v>2027.2719999999999</v>
      </c>
      <c r="H9" s="2" t="str">
        <f t="shared" si="0"/>
        <v>review</v>
      </c>
      <c r="I9" s="3">
        <v>293</v>
      </c>
      <c r="J9" s="3">
        <v>16</v>
      </c>
      <c r="K9" s="2" t="s">
        <v>650</v>
      </c>
      <c r="L9" s="3">
        <v>5</v>
      </c>
      <c r="M9" s="3" t="s">
        <v>659</v>
      </c>
    </row>
    <row r="10" spans="1:13">
      <c r="A10" s="2" t="s">
        <v>269</v>
      </c>
      <c r="B10" s="2" t="s">
        <v>185</v>
      </c>
      <c r="C10" s="2" t="s">
        <v>92</v>
      </c>
      <c r="D10" s="2" t="s">
        <v>662</v>
      </c>
      <c r="E10" s="2" t="s">
        <v>654</v>
      </c>
      <c r="F10" s="2">
        <v>3214.61</v>
      </c>
      <c r="G10" s="2">
        <v>2973.19</v>
      </c>
      <c r="H10" s="2" t="str">
        <f t="shared" si="0"/>
        <v>review</v>
      </c>
      <c r="I10" s="3">
        <v>200</v>
      </c>
      <c r="J10" s="2">
        <v>59</v>
      </c>
      <c r="K10" s="2" t="s">
        <v>663</v>
      </c>
      <c r="L10" s="2">
        <v>18</v>
      </c>
      <c r="M10" s="2" t="s">
        <v>659</v>
      </c>
    </row>
    <row r="11" spans="1:13">
      <c r="A11" s="3" t="s">
        <v>355</v>
      </c>
      <c r="B11" s="3" t="s">
        <v>398</v>
      </c>
      <c r="C11" s="2" t="s">
        <v>92</v>
      </c>
      <c r="D11" s="2" t="s">
        <v>648</v>
      </c>
      <c r="E11" s="3" t="s">
        <v>664</v>
      </c>
      <c r="F11" s="3">
        <v>3185.54</v>
      </c>
      <c r="G11" s="3">
        <v>596.13</v>
      </c>
      <c r="H11" s="2" t="str">
        <f t="shared" si="0"/>
        <v>review</v>
      </c>
      <c r="I11" s="3">
        <v>435</v>
      </c>
      <c r="J11" s="3">
        <v>66</v>
      </c>
      <c r="K11" s="2" t="s">
        <v>665</v>
      </c>
      <c r="L11" s="3">
        <v>28</v>
      </c>
      <c r="M11" s="3" t="s">
        <v>659</v>
      </c>
    </row>
    <row r="12" spans="1:13">
      <c r="A12" s="2" t="s">
        <v>322</v>
      </c>
      <c r="B12" s="2" t="s">
        <v>91</v>
      </c>
      <c r="C12" s="2" t="s">
        <v>92</v>
      </c>
      <c r="D12" s="2" t="s">
        <v>648</v>
      </c>
      <c r="E12" s="2" t="s">
        <v>664</v>
      </c>
      <c r="F12" s="2">
        <v>3957.93</v>
      </c>
      <c r="G12" s="2">
        <v>1441.78</v>
      </c>
      <c r="H12" s="2" t="str">
        <f t="shared" si="0"/>
        <v>review</v>
      </c>
      <c r="I12" s="3">
        <v>394</v>
      </c>
      <c r="J12" s="2">
        <v>63</v>
      </c>
      <c r="K12" s="2" t="s">
        <v>653</v>
      </c>
      <c r="L12" s="2">
        <v>12</v>
      </c>
      <c r="M12" s="2" t="s">
        <v>659</v>
      </c>
    </row>
    <row r="13" spans="1:13">
      <c r="A13" s="3" t="s">
        <v>126</v>
      </c>
      <c r="B13" s="3" t="s">
        <v>356</v>
      </c>
      <c r="C13" s="2" t="s">
        <v>92</v>
      </c>
      <c r="D13" s="2" t="s">
        <v>651</v>
      </c>
      <c r="E13" s="3" t="s">
        <v>660</v>
      </c>
      <c r="F13" s="18">
        <v>1000</v>
      </c>
      <c r="G13" s="3">
        <v>1359.73</v>
      </c>
      <c r="H13" s="2" t="str">
        <f t="shared" si="0"/>
        <v>ok</v>
      </c>
      <c r="I13" s="3">
        <v>494</v>
      </c>
      <c r="J13" s="3">
        <v>31</v>
      </c>
      <c r="K13" s="2" t="s">
        <v>666</v>
      </c>
      <c r="L13" s="3">
        <v>5</v>
      </c>
      <c r="M13" s="3" t="s">
        <v>620</v>
      </c>
    </row>
    <row r="14" spans="1:13">
      <c r="A14" s="2" t="s">
        <v>179</v>
      </c>
      <c r="B14" s="2" t="s">
        <v>152</v>
      </c>
      <c r="C14" s="2" t="s">
        <v>92</v>
      </c>
      <c r="D14" s="2" t="s">
        <v>648</v>
      </c>
      <c r="E14" s="2" t="s">
        <v>667</v>
      </c>
      <c r="F14" s="2">
        <v>1455.68</v>
      </c>
      <c r="G14" s="2">
        <v>3187.1</v>
      </c>
      <c r="H14" s="2" t="str">
        <f t="shared" si="0"/>
        <v>ok</v>
      </c>
      <c r="I14" s="3">
        <v>290</v>
      </c>
      <c r="J14" s="2">
        <v>62</v>
      </c>
      <c r="K14" s="2" t="s">
        <v>655</v>
      </c>
      <c r="L14" s="2">
        <v>28</v>
      </c>
      <c r="M14" s="2" t="s">
        <v>620</v>
      </c>
    </row>
    <row r="15" spans="1:13">
      <c r="A15" s="3" t="s">
        <v>294</v>
      </c>
      <c r="B15" s="3" t="s">
        <v>97</v>
      </c>
      <c r="C15" s="2" t="s">
        <v>92</v>
      </c>
      <c r="D15" s="2" t="s">
        <v>662</v>
      </c>
      <c r="E15" s="3" t="s">
        <v>649</v>
      </c>
      <c r="F15" s="3">
        <v>2191.7399999999998</v>
      </c>
      <c r="G15" s="3">
        <v>64.06</v>
      </c>
      <c r="H15" s="2" t="str">
        <f t="shared" si="0"/>
        <v>review</v>
      </c>
      <c r="I15" s="3">
        <v>16</v>
      </c>
      <c r="J15" s="3">
        <v>73</v>
      </c>
      <c r="K15" s="2" t="s">
        <v>668</v>
      </c>
      <c r="L15" s="3">
        <v>28</v>
      </c>
      <c r="M15" s="3" t="s">
        <v>659</v>
      </c>
    </row>
    <row r="16" spans="1:13">
      <c r="A16" s="2" t="s">
        <v>350</v>
      </c>
      <c r="B16" s="2" t="s">
        <v>220</v>
      </c>
      <c r="C16" s="2" t="s">
        <v>87</v>
      </c>
      <c r="D16" s="2" t="s">
        <v>662</v>
      </c>
      <c r="E16" s="2" t="s">
        <v>669</v>
      </c>
      <c r="F16" s="2">
        <v>1954.18</v>
      </c>
      <c r="G16" s="2">
        <v>5512.3</v>
      </c>
      <c r="H16" s="2" t="str">
        <f t="shared" si="0"/>
        <v>ok</v>
      </c>
      <c r="I16" s="3">
        <v>93</v>
      </c>
      <c r="J16" s="2">
        <v>58</v>
      </c>
      <c r="K16" s="2" t="s">
        <v>670</v>
      </c>
      <c r="L16" s="2">
        <v>28</v>
      </c>
      <c r="M16" s="2" t="s">
        <v>659</v>
      </c>
    </row>
    <row r="17" spans="1:13">
      <c r="A17" s="3" t="s">
        <v>344</v>
      </c>
      <c r="B17" s="3" t="s">
        <v>276</v>
      </c>
      <c r="C17" s="2" t="s">
        <v>87</v>
      </c>
      <c r="D17" s="2" t="s">
        <v>651</v>
      </c>
      <c r="E17" s="3" t="s">
        <v>657</v>
      </c>
      <c r="F17" s="3">
        <v>3653.33</v>
      </c>
      <c r="G17" s="3">
        <v>1256.7</v>
      </c>
      <c r="H17" s="2" t="str">
        <f t="shared" si="0"/>
        <v>review</v>
      </c>
      <c r="I17" s="3">
        <v>0</v>
      </c>
      <c r="J17" s="3">
        <v>54</v>
      </c>
      <c r="K17" s="2" t="s">
        <v>665</v>
      </c>
      <c r="L17" s="3">
        <v>12</v>
      </c>
      <c r="M17" s="3" t="s">
        <v>620</v>
      </c>
    </row>
    <row r="18" spans="1:13">
      <c r="A18" s="2" t="s">
        <v>121</v>
      </c>
      <c r="B18" s="2" t="s">
        <v>325</v>
      </c>
      <c r="C18" s="2" t="s">
        <v>87</v>
      </c>
      <c r="D18" s="2" t="s">
        <v>648</v>
      </c>
      <c r="E18" s="2" t="s">
        <v>669</v>
      </c>
      <c r="F18" s="2">
        <v>2024.5</v>
      </c>
      <c r="G18" s="2">
        <v>835.11</v>
      </c>
      <c r="H18" s="2" t="str">
        <f t="shared" si="0"/>
        <v>review</v>
      </c>
      <c r="I18" s="3">
        <v>162</v>
      </c>
      <c r="J18" s="2">
        <v>79</v>
      </c>
      <c r="K18" s="2" t="s">
        <v>671</v>
      </c>
      <c r="L18" s="2">
        <v>28</v>
      </c>
      <c r="M18" s="2" t="s">
        <v>659</v>
      </c>
    </row>
    <row r="19" spans="1:13">
      <c r="A19" s="3" t="s">
        <v>74</v>
      </c>
      <c r="B19" s="3" t="s">
        <v>223</v>
      </c>
      <c r="C19" s="2" t="s">
        <v>87</v>
      </c>
      <c r="D19" s="2" t="s">
        <v>651</v>
      </c>
      <c r="E19" s="3" t="s">
        <v>661</v>
      </c>
      <c r="F19" s="3">
        <v>1571.87</v>
      </c>
      <c r="G19" s="3">
        <v>4318.6099999999997</v>
      </c>
      <c r="H19" s="2" t="str">
        <f t="shared" si="0"/>
        <v>ok</v>
      </c>
      <c r="I19" s="3">
        <v>471</v>
      </c>
      <c r="J19" s="3">
        <v>58</v>
      </c>
      <c r="K19" s="2" t="s">
        <v>665</v>
      </c>
      <c r="L19" s="3">
        <v>18</v>
      </c>
      <c r="M19" s="3" t="s">
        <v>620</v>
      </c>
    </row>
    <row r="20" spans="1:13">
      <c r="A20" s="2" t="s">
        <v>263</v>
      </c>
      <c r="B20" s="2" t="s">
        <v>194</v>
      </c>
      <c r="C20" s="2" t="s">
        <v>87</v>
      </c>
      <c r="D20" s="2" t="s">
        <v>662</v>
      </c>
      <c r="E20" s="2" t="s">
        <v>654</v>
      </c>
      <c r="F20" s="2">
        <v>743.87</v>
      </c>
      <c r="G20" s="2">
        <v>5517.56</v>
      </c>
      <c r="H20" s="2" t="str">
        <f t="shared" si="0"/>
        <v>ok</v>
      </c>
      <c r="I20" s="3">
        <v>414</v>
      </c>
      <c r="J20" s="2">
        <v>22</v>
      </c>
      <c r="K20" s="2" t="s">
        <v>653</v>
      </c>
      <c r="L20" s="2">
        <v>5</v>
      </c>
      <c r="M20" s="2" t="s">
        <v>659</v>
      </c>
    </row>
    <row r="21" spans="1:13">
      <c r="A21" s="3" t="s">
        <v>243</v>
      </c>
      <c r="B21" s="3" t="s">
        <v>299</v>
      </c>
      <c r="C21" s="2" t="s">
        <v>87</v>
      </c>
      <c r="D21" s="2" t="s">
        <v>662</v>
      </c>
      <c r="E21" s="3" t="s">
        <v>672</v>
      </c>
      <c r="F21" s="3">
        <v>1295.94</v>
      </c>
      <c r="G21" s="3">
        <v>1036.752</v>
      </c>
      <c r="H21" s="2" t="str">
        <f t="shared" si="0"/>
        <v>review</v>
      </c>
      <c r="I21" s="3">
        <v>495</v>
      </c>
      <c r="J21" s="3">
        <v>71</v>
      </c>
      <c r="K21" s="2" t="s">
        <v>663</v>
      </c>
      <c r="L21" s="3">
        <v>28</v>
      </c>
      <c r="M21" s="3" t="s">
        <v>659</v>
      </c>
    </row>
    <row r="22" spans="1:13">
      <c r="A22" s="2" t="s">
        <v>159</v>
      </c>
      <c r="B22" s="2" t="s">
        <v>86</v>
      </c>
      <c r="C22" s="2" t="s">
        <v>87</v>
      </c>
      <c r="D22" s="2" t="s">
        <v>648</v>
      </c>
      <c r="E22" s="2" t="s">
        <v>673</v>
      </c>
      <c r="F22" s="2">
        <v>899.51</v>
      </c>
      <c r="G22" s="2">
        <v>1982.12</v>
      </c>
      <c r="H22" s="2" t="str">
        <f t="shared" si="0"/>
        <v>ok</v>
      </c>
      <c r="I22" s="3">
        <v>313</v>
      </c>
      <c r="J22" s="2">
        <v>38</v>
      </c>
      <c r="K22" s="2" t="s">
        <v>658</v>
      </c>
      <c r="L22" s="2">
        <v>5</v>
      </c>
      <c r="M22" s="2" t="s">
        <v>620</v>
      </c>
    </row>
    <row r="23" spans="1:13">
      <c r="A23" s="3" t="s">
        <v>108</v>
      </c>
      <c r="B23" s="3" t="s">
        <v>182</v>
      </c>
      <c r="C23" s="2" t="s">
        <v>135</v>
      </c>
      <c r="D23" s="2" t="s">
        <v>648</v>
      </c>
      <c r="E23" s="3" t="s">
        <v>664</v>
      </c>
      <c r="F23" s="3">
        <v>3586.19</v>
      </c>
      <c r="G23" s="3">
        <v>190.16</v>
      </c>
      <c r="H23" s="2" t="str">
        <f t="shared" si="0"/>
        <v>review</v>
      </c>
      <c r="I23" s="3">
        <v>113</v>
      </c>
      <c r="J23" s="3">
        <v>30</v>
      </c>
      <c r="K23" s="2" t="s">
        <v>666</v>
      </c>
      <c r="L23" s="3">
        <v>12</v>
      </c>
      <c r="M23" s="3" t="s">
        <v>620</v>
      </c>
    </row>
    <row r="24" spans="1:13">
      <c r="A24" s="2" t="s">
        <v>79</v>
      </c>
      <c r="B24" s="2" t="s">
        <v>188</v>
      </c>
      <c r="C24" s="2" t="s">
        <v>135</v>
      </c>
      <c r="D24" s="2" t="s">
        <v>662</v>
      </c>
      <c r="E24" s="2" t="s">
        <v>674</v>
      </c>
      <c r="F24" s="2">
        <v>3120.8</v>
      </c>
      <c r="G24" s="2">
        <v>3544.46</v>
      </c>
      <c r="H24" s="2" t="str">
        <f t="shared" si="0"/>
        <v>ok</v>
      </c>
      <c r="I24" s="3">
        <v>327</v>
      </c>
      <c r="J24" s="2">
        <v>67</v>
      </c>
      <c r="K24" s="2" t="s">
        <v>668</v>
      </c>
      <c r="L24" s="2">
        <v>5</v>
      </c>
      <c r="M24" s="2" t="s">
        <v>659</v>
      </c>
    </row>
    <row r="25" spans="1:13">
      <c r="A25" s="3" t="s">
        <v>219</v>
      </c>
      <c r="B25" s="3" t="s">
        <v>385</v>
      </c>
      <c r="C25" s="2" t="s">
        <v>135</v>
      </c>
      <c r="D25" s="2" t="s">
        <v>662</v>
      </c>
      <c r="E25" s="3" t="s">
        <v>673</v>
      </c>
      <c r="F25" s="18">
        <v>5000</v>
      </c>
      <c r="G25" s="3">
        <v>5508.31</v>
      </c>
      <c r="H25" s="2" t="str">
        <f t="shared" si="0"/>
        <v>ok</v>
      </c>
      <c r="I25" s="3">
        <v>289</v>
      </c>
      <c r="J25" s="3">
        <v>19</v>
      </c>
      <c r="K25" s="2" t="s">
        <v>650</v>
      </c>
      <c r="L25" s="3">
        <v>28</v>
      </c>
      <c r="M25" s="3" t="s">
        <v>659</v>
      </c>
    </row>
    <row r="26" spans="1:13">
      <c r="A26" s="2" t="s">
        <v>171</v>
      </c>
      <c r="B26" s="2" t="s">
        <v>134</v>
      </c>
      <c r="C26" s="2" t="s">
        <v>135</v>
      </c>
      <c r="D26" s="2" t="s">
        <v>651</v>
      </c>
      <c r="E26" s="2" t="s">
        <v>657</v>
      </c>
      <c r="F26" s="2">
        <v>3966.38</v>
      </c>
      <c r="G26" s="2">
        <v>4659.74</v>
      </c>
      <c r="H26" s="2" t="str">
        <f t="shared" si="0"/>
        <v>ok</v>
      </c>
      <c r="I26" s="3">
        <v>53</v>
      </c>
      <c r="J26" s="2">
        <v>14</v>
      </c>
      <c r="K26" s="2" t="s">
        <v>663</v>
      </c>
      <c r="L26" s="2">
        <v>12</v>
      </c>
      <c r="M26" s="2" t="s">
        <v>659</v>
      </c>
    </row>
    <row r="27" spans="1:13">
      <c r="A27" s="3" t="s">
        <v>96</v>
      </c>
      <c r="B27" s="3" t="s">
        <v>314</v>
      </c>
      <c r="C27" s="2" t="s">
        <v>135</v>
      </c>
      <c r="D27" s="2" t="s">
        <v>651</v>
      </c>
      <c r="E27" s="3" t="s">
        <v>669</v>
      </c>
      <c r="F27" s="3">
        <v>2131.85</v>
      </c>
      <c r="G27" s="3">
        <v>5088.1000000000004</v>
      </c>
      <c r="H27" s="2" t="str">
        <f t="shared" si="0"/>
        <v>ok</v>
      </c>
      <c r="I27" s="3">
        <v>479</v>
      </c>
      <c r="J27" s="3">
        <v>47</v>
      </c>
      <c r="K27" s="2" t="s">
        <v>665</v>
      </c>
      <c r="L27" s="3">
        <v>12</v>
      </c>
      <c r="M27" s="3" t="s">
        <v>620</v>
      </c>
    </row>
    <row r="28" spans="1:13">
      <c r="A28" s="2" t="s">
        <v>252</v>
      </c>
      <c r="B28" s="2" t="s">
        <v>239</v>
      </c>
      <c r="C28" s="2" t="s">
        <v>135</v>
      </c>
      <c r="D28" s="2" t="s">
        <v>651</v>
      </c>
      <c r="E28" s="2" t="s">
        <v>673</v>
      </c>
      <c r="F28" s="2">
        <v>3074.36</v>
      </c>
      <c r="G28" s="2">
        <v>5172.38</v>
      </c>
      <c r="H28" s="2" t="str">
        <f t="shared" si="0"/>
        <v>ok</v>
      </c>
      <c r="I28" s="3">
        <v>254</v>
      </c>
      <c r="J28" s="2">
        <v>12</v>
      </c>
      <c r="K28" s="2" t="s">
        <v>650</v>
      </c>
      <c r="L28" s="2">
        <v>12</v>
      </c>
      <c r="M28" s="2" t="s">
        <v>659</v>
      </c>
    </row>
    <row r="29" spans="1:13">
      <c r="A29" s="3" t="s">
        <v>148</v>
      </c>
      <c r="B29" s="3" t="s">
        <v>216</v>
      </c>
      <c r="C29" s="2" t="s">
        <v>135</v>
      </c>
      <c r="D29" s="2" t="s">
        <v>648</v>
      </c>
      <c r="E29" s="3" t="s">
        <v>656</v>
      </c>
      <c r="F29" s="3">
        <v>3998.43</v>
      </c>
      <c r="G29" s="3">
        <v>5765.72</v>
      </c>
      <c r="H29" s="2" t="str">
        <f t="shared" si="0"/>
        <v>ok</v>
      </c>
      <c r="I29" s="3">
        <v>72</v>
      </c>
      <c r="J29" s="3">
        <v>50</v>
      </c>
      <c r="K29" s="2" t="s">
        <v>670</v>
      </c>
      <c r="L29" s="3">
        <v>12</v>
      </c>
      <c r="M29" s="3" t="s">
        <v>659</v>
      </c>
    </row>
    <row r="30" spans="1:13">
      <c r="A30" s="2" t="s">
        <v>309</v>
      </c>
      <c r="B30" s="2" t="s">
        <v>164</v>
      </c>
      <c r="C30" s="2" t="s">
        <v>123</v>
      </c>
      <c r="D30" s="2" t="s">
        <v>648</v>
      </c>
      <c r="E30" s="2" t="s">
        <v>673</v>
      </c>
      <c r="F30" s="2">
        <v>3896.7</v>
      </c>
      <c r="G30" s="2">
        <v>2279.13</v>
      </c>
      <c r="H30" s="2" t="str">
        <f t="shared" si="0"/>
        <v>review</v>
      </c>
      <c r="I30" s="3">
        <v>169</v>
      </c>
      <c r="J30" s="2">
        <v>43</v>
      </c>
      <c r="K30" s="2" t="s">
        <v>658</v>
      </c>
      <c r="L30" s="2">
        <v>12</v>
      </c>
      <c r="M30" s="2" t="s">
        <v>659</v>
      </c>
    </row>
    <row r="31" spans="1:13">
      <c r="A31" s="3" t="s">
        <v>306</v>
      </c>
      <c r="B31" s="3" t="s">
        <v>191</v>
      </c>
      <c r="C31" s="2" t="s">
        <v>123</v>
      </c>
      <c r="D31" s="2" t="s">
        <v>662</v>
      </c>
      <c r="E31" s="3" t="s">
        <v>661</v>
      </c>
      <c r="F31" s="3">
        <v>427.53</v>
      </c>
      <c r="G31" s="3">
        <v>5655.02</v>
      </c>
      <c r="H31" s="2" t="str">
        <f t="shared" si="0"/>
        <v>ok</v>
      </c>
      <c r="I31" s="3">
        <v>381</v>
      </c>
      <c r="J31" s="3">
        <v>23</v>
      </c>
      <c r="K31" s="2" t="s">
        <v>663</v>
      </c>
      <c r="L31" s="3">
        <v>5</v>
      </c>
      <c r="M31" s="3" t="s">
        <v>659</v>
      </c>
    </row>
    <row r="32" spans="1:13">
      <c r="A32" s="2" t="s">
        <v>318</v>
      </c>
      <c r="B32" s="2" t="s">
        <v>462</v>
      </c>
      <c r="C32" s="2" t="s">
        <v>123</v>
      </c>
      <c r="D32" s="2" t="s">
        <v>648</v>
      </c>
      <c r="E32" s="2" t="s">
        <v>667</v>
      </c>
      <c r="F32" s="2">
        <v>2637.75</v>
      </c>
      <c r="G32" s="2">
        <v>2409.84</v>
      </c>
      <c r="H32" s="2" t="str">
        <f t="shared" si="0"/>
        <v>review</v>
      </c>
      <c r="I32" s="3">
        <v>39</v>
      </c>
      <c r="J32" s="2">
        <v>19</v>
      </c>
      <c r="K32" s="2" t="s">
        <v>1271</v>
      </c>
      <c r="L32" s="2">
        <v>28</v>
      </c>
      <c r="M32" s="2" t="s">
        <v>659</v>
      </c>
    </row>
    <row r="33" spans="1:13">
      <c r="A33" s="3" t="s">
        <v>380</v>
      </c>
      <c r="B33" s="3" t="s">
        <v>122</v>
      </c>
      <c r="C33" s="2" t="s">
        <v>123</v>
      </c>
      <c r="D33" s="2" t="s">
        <v>648</v>
      </c>
      <c r="E33" s="3" t="s">
        <v>652</v>
      </c>
      <c r="F33" s="3">
        <v>1088.1099999999999</v>
      </c>
      <c r="G33" s="3">
        <v>660.13</v>
      </c>
      <c r="H33" s="2" t="str">
        <f t="shared" si="0"/>
        <v>review</v>
      </c>
      <c r="I33" s="3">
        <v>121</v>
      </c>
      <c r="J33" s="3">
        <v>53</v>
      </c>
      <c r="K33" s="2" t="s">
        <v>663</v>
      </c>
      <c r="L33" s="3">
        <v>5</v>
      </c>
      <c r="M33" s="3" t="s">
        <v>620</v>
      </c>
    </row>
    <row r="34" spans="1:13">
      <c r="A34" s="2" t="s">
        <v>90</v>
      </c>
      <c r="B34" s="2" t="s">
        <v>416</v>
      </c>
      <c r="C34" s="2" t="s">
        <v>123</v>
      </c>
      <c r="D34" s="2" t="s">
        <v>648</v>
      </c>
      <c r="E34" s="2" t="s">
        <v>654</v>
      </c>
      <c r="F34" s="2">
        <v>3270.65</v>
      </c>
      <c r="G34" s="2">
        <v>1852.49</v>
      </c>
      <c r="H34" s="2" t="str">
        <f t="shared" si="0"/>
        <v>review</v>
      </c>
      <c r="I34" s="3">
        <v>177</v>
      </c>
      <c r="J34" s="2">
        <v>31</v>
      </c>
      <c r="K34" s="2" t="s">
        <v>658</v>
      </c>
      <c r="L34" s="2">
        <v>28</v>
      </c>
      <c r="M34" s="2" t="s">
        <v>620</v>
      </c>
    </row>
    <row r="35" spans="1:13">
      <c r="A35" s="3" t="s">
        <v>196</v>
      </c>
      <c r="B35" s="3" t="s">
        <v>156</v>
      </c>
      <c r="C35" s="2" t="s">
        <v>123</v>
      </c>
      <c r="D35" s="2" t="s">
        <v>648</v>
      </c>
      <c r="E35" s="3" t="s">
        <v>661</v>
      </c>
      <c r="F35" s="3">
        <v>3671.52</v>
      </c>
      <c r="G35" s="3">
        <v>870.52</v>
      </c>
      <c r="H35" s="2" t="str">
        <f t="shared" si="0"/>
        <v>review</v>
      </c>
      <c r="I35" s="3">
        <v>163</v>
      </c>
      <c r="J35" s="3">
        <v>58</v>
      </c>
      <c r="K35" s="2" t="s">
        <v>653</v>
      </c>
      <c r="L35" s="3">
        <v>12</v>
      </c>
      <c r="M35" s="3" t="s">
        <v>620</v>
      </c>
    </row>
    <row r="36" spans="1:13">
      <c r="A36" s="2" t="s">
        <v>104</v>
      </c>
      <c r="B36" s="2" t="s">
        <v>180</v>
      </c>
      <c r="C36" s="2" t="s">
        <v>123</v>
      </c>
      <c r="D36" s="2" t="s">
        <v>648</v>
      </c>
      <c r="E36" s="2" t="s">
        <v>675</v>
      </c>
      <c r="F36" s="2">
        <v>251.96</v>
      </c>
      <c r="G36" s="2">
        <v>995.57</v>
      </c>
      <c r="H36" s="2" t="str">
        <f t="shared" si="0"/>
        <v>ok</v>
      </c>
      <c r="I36" s="3">
        <v>85</v>
      </c>
      <c r="J36" s="2">
        <v>30</v>
      </c>
      <c r="K36" s="2" t="s">
        <v>668</v>
      </c>
      <c r="L36" s="2">
        <v>12</v>
      </c>
      <c r="M36" s="2" t="s">
        <v>659</v>
      </c>
    </row>
    <row r="37" spans="1:13">
      <c r="A37" s="3" t="s">
        <v>267</v>
      </c>
      <c r="B37" s="3" t="s">
        <v>113</v>
      </c>
      <c r="C37" s="2" t="s">
        <v>62</v>
      </c>
      <c r="D37" s="2" t="s">
        <v>648</v>
      </c>
      <c r="E37" s="3" t="s">
        <v>675</v>
      </c>
      <c r="F37" s="3">
        <v>3985.68</v>
      </c>
      <c r="G37" s="3">
        <v>5695.24</v>
      </c>
      <c r="H37" s="2" t="str">
        <f t="shared" si="0"/>
        <v>ok</v>
      </c>
      <c r="I37" s="3">
        <v>325</v>
      </c>
      <c r="J37" s="3">
        <v>19</v>
      </c>
      <c r="K37" s="2" t="s">
        <v>668</v>
      </c>
      <c r="L37" s="3">
        <v>18</v>
      </c>
      <c r="M37" s="3" t="s">
        <v>659</v>
      </c>
    </row>
    <row r="38" spans="1:13">
      <c r="A38" s="2" t="s">
        <v>175</v>
      </c>
      <c r="B38" s="2" t="s">
        <v>80</v>
      </c>
      <c r="C38" s="2" t="s">
        <v>62</v>
      </c>
      <c r="D38" s="2" t="s">
        <v>648</v>
      </c>
      <c r="E38" s="2" t="s">
        <v>657</v>
      </c>
      <c r="F38" s="2">
        <v>901.06</v>
      </c>
      <c r="G38" s="2">
        <v>4763.54</v>
      </c>
      <c r="H38" s="2" t="str">
        <f t="shared" si="0"/>
        <v>ok</v>
      </c>
      <c r="I38" s="3">
        <v>453</v>
      </c>
      <c r="J38" s="2">
        <v>80</v>
      </c>
      <c r="K38" s="2" t="s">
        <v>658</v>
      </c>
      <c r="L38" s="2">
        <v>18</v>
      </c>
      <c r="M38" s="2" t="s">
        <v>659</v>
      </c>
    </row>
    <row r="39" spans="1:13">
      <c r="A39" s="3" t="s">
        <v>131</v>
      </c>
      <c r="B39" s="3" t="s">
        <v>172</v>
      </c>
      <c r="C39" s="2" t="s">
        <v>62</v>
      </c>
      <c r="D39" s="2" t="s">
        <v>648</v>
      </c>
      <c r="E39" s="3" t="s">
        <v>654</v>
      </c>
      <c r="F39" s="3">
        <v>3390.63</v>
      </c>
      <c r="G39" s="3">
        <v>5766.33</v>
      </c>
      <c r="H39" s="2" t="str">
        <f t="shared" si="0"/>
        <v>ok</v>
      </c>
      <c r="I39" s="3">
        <v>493</v>
      </c>
      <c r="J39" s="3">
        <v>21</v>
      </c>
      <c r="K39" s="2" t="s">
        <v>663</v>
      </c>
      <c r="L39" s="3">
        <v>5</v>
      </c>
      <c r="M39" s="3" t="s">
        <v>659</v>
      </c>
    </row>
    <row r="40" spans="1:13">
      <c r="A40" s="2" t="s">
        <v>145</v>
      </c>
      <c r="B40" s="2" t="s">
        <v>261</v>
      </c>
      <c r="C40" s="2" t="s">
        <v>62</v>
      </c>
      <c r="D40" s="2" t="s">
        <v>662</v>
      </c>
      <c r="E40" s="2" t="s">
        <v>661</v>
      </c>
      <c r="F40" s="2">
        <v>3195.64</v>
      </c>
      <c r="G40" s="2">
        <v>3916.13</v>
      </c>
      <c r="H40" s="2" t="str">
        <f t="shared" si="0"/>
        <v>ok</v>
      </c>
      <c r="I40" s="3">
        <v>45</v>
      </c>
      <c r="J40" s="2">
        <v>53</v>
      </c>
      <c r="K40" s="2" t="s">
        <v>655</v>
      </c>
      <c r="L40" s="2">
        <v>5</v>
      </c>
      <c r="M40" s="2" t="s">
        <v>659</v>
      </c>
    </row>
    <row r="41" spans="1:13">
      <c r="A41" s="3" t="s">
        <v>232</v>
      </c>
      <c r="B41" s="3" t="s">
        <v>61</v>
      </c>
      <c r="C41" s="2" t="s">
        <v>62</v>
      </c>
      <c r="D41" s="2" t="s">
        <v>662</v>
      </c>
      <c r="E41" s="3" t="s">
        <v>669</v>
      </c>
      <c r="F41" s="3">
        <v>1438.57</v>
      </c>
      <c r="G41" s="3">
        <v>1094.76</v>
      </c>
      <c r="H41" s="2" t="str">
        <f t="shared" si="0"/>
        <v>review</v>
      </c>
      <c r="I41" s="3">
        <v>420</v>
      </c>
      <c r="J41" s="3">
        <v>71</v>
      </c>
      <c r="K41" s="2" t="s">
        <v>653</v>
      </c>
      <c r="L41" s="3">
        <v>28</v>
      </c>
      <c r="M41" s="3" t="s">
        <v>620</v>
      </c>
    </row>
    <row r="42" spans="1:13">
      <c r="A42" s="2" t="s">
        <v>334</v>
      </c>
      <c r="B42" s="2" t="s">
        <v>117</v>
      </c>
      <c r="C42" s="2" t="s">
        <v>62</v>
      </c>
      <c r="D42" s="2" t="s">
        <v>651</v>
      </c>
      <c r="E42" s="2" t="s">
        <v>672</v>
      </c>
      <c r="F42" s="2">
        <v>3361.71</v>
      </c>
      <c r="G42" s="2">
        <v>5814.33</v>
      </c>
      <c r="H42" s="2" t="str">
        <f t="shared" si="0"/>
        <v>ok</v>
      </c>
      <c r="I42" s="3">
        <v>362</v>
      </c>
      <c r="J42" s="2">
        <v>13</v>
      </c>
      <c r="K42" s="2" t="s">
        <v>670</v>
      </c>
      <c r="L42" s="2">
        <v>28</v>
      </c>
      <c r="M42" s="2" t="s">
        <v>620</v>
      </c>
    </row>
    <row r="43" spans="1:13">
      <c r="A43" s="3" t="s">
        <v>85</v>
      </c>
      <c r="B43" s="3" t="s">
        <v>176</v>
      </c>
      <c r="C43" s="2" t="s">
        <v>62</v>
      </c>
      <c r="D43" s="2" t="s">
        <v>651</v>
      </c>
      <c r="E43" s="3" t="s">
        <v>672</v>
      </c>
      <c r="F43" s="3">
        <v>3385.53</v>
      </c>
      <c r="G43" s="3">
        <v>4179.75</v>
      </c>
      <c r="H43" s="2" t="str">
        <f t="shared" si="0"/>
        <v>ok</v>
      </c>
      <c r="I43" s="3">
        <v>343</v>
      </c>
      <c r="J43" s="3">
        <v>65</v>
      </c>
      <c r="K43" s="2" t="s">
        <v>671</v>
      </c>
      <c r="L43" s="3">
        <v>18</v>
      </c>
      <c r="M43" s="3" t="s">
        <v>659</v>
      </c>
    </row>
    <row r="44" spans="1:13">
      <c r="A44" s="2" t="s">
        <v>213</v>
      </c>
      <c r="B44" s="2" t="s">
        <v>246</v>
      </c>
      <c r="C44" s="2" t="s">
        <v>198</v>
      </c>
      <c r="D44" s="2" t="s">
        <v>651</v>
      </c>
      <c r="E44" s="2" t="s">
        <v>672</v>
      </c>
      <c r="F44" s="2">
        <v>729.12</v>
      </c>
      <c r="G44" s="2">
        <v>5577.34</v>
      </c>
      <c r="H44" s="2" t="str">
        <f t="shared" si="0"/>
        <v>ok</v>
      </c>
      <c r="I44" s="3">
        <v>327</v>
      </c>
      <c r="J44" s="2">
        <v>31</v>
      </c>
      <c r="K44" s="2" t="s">
        <v>653</v>
      </c>
      <c r="L44" s="2">
        <v>18</v>
      </c>
      <c r="M44" s="2" t="s">
        <v>620</v>
      </c>
    </row>
    <row r="45" spans="1:13">
      <c r="A45" s="3" t="s">
        <v>101</v>
      </c>
      <c r="B45" s="3" t="s">
        <v>201</v>
      </c>
      <c r="C45" s="2" t="s">
        <v>198</v>
      </c>
      <c r="D45" s="2" t="s">
        <v>648</v>
      </c>
      <c r="E45" s="3" t="s">
        <v>652</v>
      </c>
      <c r="F45" s="3">
        <v>2382.3000000000002</v>
      </c>
      <c r="G45" s="3">
        <v>4734.7299999999996</v>
      </c>
      <c r="H45" s="2" t="str">
        <f t="shared" si="0"/>
        <v>ok</v>
      </c>
      <c r="I45" s="3">
        <v>373</v>
      </c>
      <c r="J45" s="3">
        <v>65</v>
      </c>
      <c r="K45" s="2" t="s">
        <v>671</v>
      </c>
      <c r="L45" s="3">
        <v>28</v>
      </c>
      <c r="M45" s="3" t="s">
        <v>659</v>
      </c>
    </row>
    <row r="46" spans="1:13">
      <c r="A46" s="2" t="s">
        <v>260</v>
      </c>
      <c r="B46" s="2" t="s">
        <v>208</v>
      </c>
      <c r="C46" s="2" t="s">
        <v>198</v>
      </c>
      <c r="D46" s="2" t="s">
        <v>651</v>
      </c>
      <c r="E46" s="2" t="s">
        <v>656</v>
      </c>
      <c r="F46" s="2">
        <v>3230.65</v>
      </c>
      <c r="G46" s="2">
        <v>1386.03</v>
      </c>
      <c r="H46" s="2" t="str">
        <f t="shared" si="0"/>
        <v>review</v>
      </c>
      <c r="I46" s="3">
        <v>453</v>
      </c>
      <c r="J46" s="2">
        <v>30</v>
      </c>
      <c r="K46" s="2" t="s">
        <v>670</v>
      </c>
      <c r="L46" s="2">
        <v>5</v>
      </c>
      <c r="M46" s="2" t="s">
        <v>659</v>
      </c>
    </row>
    <row r="47" spans="1:13">
      <c r="A47" s="3" t="s">
        <v>187</v>
      </c>
      <c r="B47" s="3" t="s">
        <v>197</v>
      </c>
      <c r="C47" s="2" t="s">
        <v>198</v>
      </c>
      <c r="D47" s="2" t="s">
        <v>651</v>
      </c>
      <c r="E47" s="3" t="s">
        <v>675</v>
      </c>
      <c r="F47" s="3">
        <v>2799.58</v>
      </c>
      <c r="G47" s="3">
        <v>3558.36</v>
      </c>
      <c r="H47" s="2" t="str">
        <f t="shared" si="0"/>
        <v>ok</v>
      </c>
      <c r="I47" s="3">
        <v>171</v>
      </c>
      <c r="J47" s="3">
        <v>16</v>
      </c>
      <c r="K47" s="2" t="s">
        <v>668</v>
      </c>
      <c r="L47" s="3">
        <v>28</v>
      </c>
      <c r="M47" s="3" t="s">
        <v>659</v>
      </c>
    </row>
    <row r="48" spans="1:13">
      <c r="A48" s="2" t="s">
        <v>155</v>
      </c>
      <c r="B48" s="2" t="s">
        <v>297</v>
      </c>
      <c r="C48" s="2" t="s">
        <v>198</v>
      </c>
      <c r="D48" s="2" t="s">
        <v>662</v>
      </c>
      <c r="E48" s="2" t="s">
        <v>657</v>
      </c>
      <c r="F48" s="2">
        <v>3658.5</v>
      </c>
      <c r="G48" s="2">
        <v>1101.5899999999999</v>
      </c>
      <c r="H48" s="2" t="str">
        <f t="shared" si="0"/>
        <v>review</v>
      </c>
      <c r="I48" s="3">
        <v>228</v>
      </c>
      <c r="J48" s="2">
        <v>22</v>
      </c>
      <c r="K48" s="2" t="s">
        <v>665</v>
      </c>
      <c r="L48" s="2">
        <v>5</v>
      </c>
      <c r="M48" s="2" t="s">
        <v>620</v>
      </c>
    </row>
    <row r="49" spans="1:13">
      <c r="A49" s="3" t="s">
        <v>207</v>
      </c>
      <c r="B49" s="3" t="s">
        <v>378</v>
      </c>
      <c r="C49" s="2" t="s">
        <v>198</v>
      </c>
      <c r="D49" s="2" t="s">
        <v>648</v>
      </c>
      <c r="E49" s="3" t="s">
        <v>673</v>
      </c>
      <c r="F49" s="3">
        <v>141.97999999999999</v>
      </c>
      <c r="G49" s="3">
        <v>1882.53</v>
      </c>
      <c r="H49" s="2" t="str">
        <f t="shared" si="0"/>
        <v>ok</v>
      </c>
      <c r="I49" s="3">
        <v>5</v>
      </c>
      <c r="J49" s="3">
        <v>52</v>
      </c>
      <c r="K49" s="2" t="s">
        <v>658</v>
      </c>
      <c r="L49" s="3">
        <v>28</v>
      </c>
      <c r="M49" s="3" t="s">
        <v>620</v>
      </c>
    </row>
    <row r="50" spans="1:13">
      <c r="A50" s="2" t="s">
        <v>341</v>
      </c>
      <c r="B50" s="2" t="s">
        <v>229</v>
      </c>
      <c r="C50" s="2" t="s">
        <v>198</v>
      </c>
      <c r="D50" s="2" t="s">
        <v>648</v>
      </c>
      <c r="E50" s="2" t="s">
        <v>654</v>
      </c>
      <c r="F50" s="2">
        <v>2811.23</v>
      </c>
      <c r="G50" s="2">
        <v>4149.68</v>
      </c>
      <c r="H50" s="2" t="str">
        <f t="shared" si="0"/>
        <v>ok</v>
      </c>
      <c r="I50" s="3">
        <v>135</v>
      </c>
      <c r="J50" s="2">
        <v>36</v>
      </c>
      <c r="K50" s="2" t="s">
        <v>668</v>
      </c>
      <c r="L50" s="2">
        <v>12</v>
      </c>
      <c r="M50" s="2" t="s">
        <v>620</v>
      </c>
    </row>
  </sheetData>
  <autoFilter ref="A1:M50" xr:uid="{00000000-0001-0000-0300-000000000000}"/>
  <conditionalFormatting sqref="H1:H1048576">
    <cfRule type="containsText" dxfId="0" priority="1" operator="containsText" text="review">
      <formula>NOT(ISERROR(SEARCH("review",H1)))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AA44"/>
  </sheetPr>
  <dimension ref="A1:J11"/>
  <sheetViews>
    <sheetView workbookViewId="0">
      <pane ySplit="1" topLeftCell="A2" activePane="bottomLeft" state="frozen"/>
      <selection activeCell="B26" sqref="B26"/>
      <selection pane="bottomLeft" activeCell="I17" sqref="I16:I17"/>
    </sheetView>
  </sheetViews>
  <sheetFormatPr defaultColWidth="9" defaultRowHeight="14.5"/>
  <cols>
    <col min="1" max="1" width="11" customWidth="1"/>
    <col min="2" max="2" width="22" customWidth="1"/>
    <col min="3" max="3" width="10" customWidth="1"/>
    <col min="4" max="4" width="12" customWidth="1"/>
    <col min="5" max="5" width="18" customWidth="1"/>
    <col min="6" max="6" width="15" customWidth="1"/>
    <col min="7" max="7" width="13" customWidth="1"/>
    <col min="8" max="8" width="15" customWidth="1"/>
    <col min="9" max="9" width="14" customWidth="1"/>
  </cols>
  <sheetData>
    <row r="1" spans="1:10" ht="30" customHeight="1">
      <c r="A1" s="1" t="s">
        <v>47</v>
      </c>
      <c r="B1" s="1" t="s">
        <v>598</v>
      </c>
      <c r="C1" s="1" t="s">
        <v>599</v>
      </c>
      <c r="D1" s="1" t="s">
        <v>600</v>
      </c>
      <c r="E1" s="1" t="s">
        <v>1283</v>
      </c>
      <c r="F1" s="1" t="s">
        <v>601</v>
      </c>
      <c r="G1" s="1" t="s">
        <v>602</v>
      </c>
      <c r="H1" s="1" t="s">
        <v>603</v>
      </c>
      <c r="I1" s="1" t="s">
        <v>604</v>
      </c>
      <c r="J1" s="1" t="s">
        <v>1269</v>
      </c>
    </row>
    <row r="2" spans="1:10">
      <c r="A2" s="2" t="s">
        <v>107</v>
      </c>
      <c r="B2" s="2" t="s">
        <v>1272</v>
      </c>
      <c r="C2" s="2" t="s">
        <v>605</v>
      </c>
      <c r="D2" s="2" t="s">
        <v>606</v>
      </c>
      <c r="E2" s="2">
        <v>6048</v>
      </c>
      <c r="F2" s="2" t="s">
        <v>607</v>
      </c>
      <c r="G2" s="2" t="s">
        <v>608</v>
      </c>
      <c r="H2" s="2">
        <v>358226</v>
      </c>
      <c r="I2" s="2">
        <v>35</v>
      </c>
      <c r="J2" t="s">
        <v>620</v>
      </c>
    </row>
    <row r="3" spans="1:10">
      <c r="A3" s="3" t="s">
        <v>84</v>
      </c>
      <c r="B3" s="2" t="s">
        <v>1273</v>
      </c>
      <c r="C3" s="3" t="s">
        <v>609</v>
      </c>
      <c r="D3" s="2" t="s">
        <v>610</v>
      </c>
      <c r="E3" s="2">
        <v>4438</v>
      </c>
      <c r="F3" s="3" t="s">
        <v>611</v>
      </c>
      <c r="G3" s="3" t="s">
        <v>612</v>
      </c>
      <c r="H3" s="3">
        <v>134897</v>
      </c>
      <c r="I3" s="3">
        <v>27</v>
      </c>
      <c r="J3" t="s">
        <v>620</v>
      </c>
    </row>
    <row r="4" spans="1:10">
      <c r="A4" s="2" t="s">
        <v>66</v>
      </c>
      <c r="B4" s="2" t="s">
        <v>1274</v>
      </c>
      <c r="C4" s="18" t="s">
        <v>621</v>
      </c>
      <c r="D4" s="2" t="s">
        <v>613</v>
      </c>
      <c r="E4" s="2">
        <v>10584</v>
      </c>
      <c r="F4" s="2" t="s">
        <v>614</v>
      </c>
      <c r="G4" s="2" t="s">
        <v>615</v>
      </c>
      <c r="H4" s="2">
        <v>202504</v>
      </c>
      <c r="I4" s="2">
        <v>23</v>
      </c>
      <c r="J4" t="s">
        <v>659</v>
      </c>
    </row>
    <row r="5" spans="1:10">
      <c r="A5" s="3" t="s">
        <v>130</v>
      </c>
      <c r="B5" s="2" t="s">
        <v>1275</v>
      </c>
      <c r="C5" s="3" t="s">
        <v>616</v>
      </c>
      <c r="D5" s="2" t="s">
        <v>617</v>
      </c>
      <c r="E5" s="2">
        <v>20031</v>
      </c>
      <c r="F5" s="3" t="s">
        <v>618</v>
      </c>
      <c r="G5" s="3" t="s">
        <v>619</v>
      </c>
      <c r="H5" s="3">
        <v>437384</v>
      </c>
      <c r="I5" s="3">
        <v>29</v>
      </c>
      <c r="J5" t="s">
        <v>659</v>
      </c>
    </row>
    <row r="6" spans="1:10">
      <c r="A6" s="2" t="s">
        <v>95</v>
      </c>
      <c r="B6" s="2" t="s">
        <v>1276</v>
      </c>
      <c r="C6" s="2" t="s">
        <v>621</v>
      </c>
      <c r="D6" s="2" t="s">
        <v>622</v>
      </c>
      <c r="E6" s="2">
        <v>16535</v>
      </c>
      <c r="F6" s="2" t="s">
        <v>623</v>
      </c>
      <c r="G6" s="2" t="s">
        <v>624</v>
      </c>
      <c r="H6" s="2">
        <v>468938</v>
      </c>
      <c r="I6" s="2">
        <v>23</v>
      </c>
      <c r="J6" t="s">
        <v>659</v>
      </c>
    </row>
    <row r="7" spans="1:10">
      <c r="A7" s="3" t="s">
        <v>59</v>
      </c>
      <c r="B7" s="2" t="s">
        <v>1277</v>
      </c>
      <c r="C7" s="3" t="s">
        <v>625</v>
      </c>
      <c r="D7" s="2" t="s">
        <v>626</v>
      </c>
      <c r="E7" s="2">
        <v>15205</v>
      </c>
      <c r="F7" s="3" t="s">
        <v>627</v>
      </c>
      <c r="G7" s="3" t="s">
        <v>628</v>
      </c>
      <c r="H7" s="18">
        <f>MEDIAN(H2:H6)</f>
        <v>358226</v>
      </c>
      <c r="I7" s="3">
        <v>31</v>
      </c>
      <c r="J7" t="s">
        <v>620</v>
      </c>
    </row>
    <row r="8" spans="1:10">
      <c r="A8" s="2" t="s">
        <v>120</v>
      </c>
      <c r="B8" s="2" t="s">
        <v>1278</v>
      </c>
      <c r="C8" s="2" t="s">
        <v>625</v>
      </c>
      <c r="D8" s="2" t="s">
        <v>629</v>
      </c>
      <c r="E8" s="2">
        <v>18022</v>
      </c>
      <c r="F8" s="2" t="s">
        <v>630</v>
      </c>
      <c r="G8" s="2" t="s">
        <v>631</v>
      </c>
      <c r="H8" s="2">
        <v>429398</v>
      </c>
      <c r="I8" s="2">
        <v>67</v>
      </c>
      <c r="J8" t="s">
        <v>659</v>
      </c>
    </row>
    <row r="9" spans="1:10">
      <c r="A9" s="3" t="s">
        <v>190</v>
      </c>
      <c r="B9" s="2" t="s">
        <v>1279</v>
      </c>
      <c r="C9" s="3" t="s">
        <v>609</v>
      </c>
      <c r="D9" s="2" t="s">
        <v>632</v>
      </c>
      <c r="E9" s="2">
        <v>6131</v>
      </c>
      <c r="F9" s="3" t="s">
        <v>633</v>
      </c>
      <c r="G9" s="3" t="s">
        <v>634</v>
      </c>
      <c r="H9" s="3">
        <v>217026</v>
      </c>
      <c r="I9" s="3">
        <v>69</v>
      </c>
      <c r="J9" t="s">
        <v>620</v>
      </c>
    </row>
    <row r="10" spans="1:10">
      <c r="A10" s="2" t="s">
        <v>167</v>
      </c>
      <c r="B10" s="2" t="s">
        <v>1280</v>
      </c>
      <c r="C10" s="2" t="s">
        <v>621</v>
      </c>
      <c r="D10" s="2" t="s">
        <v>635</v>
      </c>
      <c r="E10" s="2">
        <v>22030</v>
      </c>
      <c r="F10" s="2" t="s">
        <v>636</v>
      </c>
      <c r="G10" s="2" t="s">
        <v>637</v>
      </c>
      <c r="H10" s="2">
        <v>270158</v>
      </c>
      <c r="I10" s="2">
        <v>50</v>
      </c>
      <c r="J10" t="s">
        <v>620</v>
      </c>
    </row>
    <row r="11" spans="1:10">
      <c r="A11" s="3" t="s">
        <v>73</v>
      </c>
      <c r="B11" s="2" t="s">
        <v>1281</v>
      </c>
      <c r="C11" s="3" t="s">
        <v>605</v>
      </c>
      <c r="D11" s="2" t="s">
        <v>1282</v>
      </c>
      <c r="E11" s="2">
        <v>6131</v>
      </c>
      <c r="F11" s="3" t="s">
        <v>638</v>
      </c>
      <c r="G11" s="3" t="s">
        <v>639</v>
      </c>
      <c r="H11" s="3">
        <v>178117</v>
      </c>
      <c r="I11" s="3">
        <v>62</v>
      </c>
      <c r="J11" t="s">
        <v>620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AA44AA"/>
  </sheetPr>
  <dimension ref="A1:O361"/>
  <sheetViews>
    <sheetView zoomScale="78" zoomScaleNormal="78" workbookViewId="0">
      <pane ySplit="1" topLeftCell="A338" activePane="bottomLeft" state="frozen"/>
      <selection activeCell="B26" sqref="B26"/>
      <selection pane="bottomLeft" activeCell="B26" sqref="B26"/>
    </sheetView>
  </sheetViews>
  <sheetFormatPr defaultColWidth="9" defaultRowHeight="14.5"/>
  <cols>
    <col min="1" max="1" width="14.54296875" bestFit="1" customWidth="1"/>
    <col min="2" max="2" width="12.453125" style="9" bestFit="1" customWidth="1"/>
    <col min="3" max="3" width="21.26953125" bestFit="1" customWidth="1"/>
    <col min="4" max="4" width="12.36328125" bestFit="1" customWidth="1"/>
    <col min="5" max="5" width="15" customWidth="1"/>
    <col min="6" max="6" width="21" customWidth="1"/>
    <col min="7" max="7" width="13" customWidth="1"/>
    <col min="8" max="8" width="19" style="23" customWidth="1"/>
    <col min="9" max="9" width="17" customWidth="1"/>
    <col min="10" max="10" width="21" customWidth="1"/>
    <col min="11" max="11" width="18" customWidth="1"/>
    <col min="12" max="12" width="17" customWidth="1"/>
  </cols>
  <sheetData>
    <row r="1" spans="1:12" ht="30" customHeight="1">
      <c r="A1" s="1" t="s">
        <v>47</v>
      </c>
      <c r="B1" s="10" t="s">
        <v>1204</v>
      </c>
      <c r="C1" s="1" t="s">
        <v>1205</v>
      </c>
      <c r="D1" s="1" t="s">
        <v>1206</v>
      </c>
      <c r="E1" s="1" t="s">
        <v>1207</v>
      </c>
      <c r="F1" s="1" t="s">
        <v>1208</v>
      </c>
      <c r="G1" s="1" t="s">
        <v>1209</v>
      </c>
      <c r="H1" s="21" t="s">
        <v>1210</v>
      </c>
      <c r="I1" s="1" t="s">
        <v>1211</v>
      </c>
      <c r="J1" s="1" t="s">
        <v>1212</v>
      </c>
      <c r="K1" s="1" t="s">
        <v>1213</v>
      </c>
      <c r="L1" s="1" t="s">
        <v>1214</v>
      </c>
    </row>
    <row r="2" spans="1:12">
      <c r="A2" s="2" t="s">
        <v>107</v>
      </c>
      <c r="B2" s="11" t="s">
        <v>1215</v>
      </c>
      <c r="C2" s="2">
        <v>233070.01</v>
      </c>
      <c r="D2" s="2">
        <v>144754.62</v>
      </c>
      <c r="E2" s="2">
        <v>88315.39</v>
      </c>
      <c r="F2" s="2">
        <v>90414.28</v>
      </c>
      <c r="G2" s="2">
        <v>2098.89</v>
      </c>
      <c r="H2" s="22">
        <v>37.89</v>
      </c>
      <c r="I2" s="2">
        <v>-0.9</v>
      </c>
      <c r="J2" s="2">
        <v>1438</v>
      </c>
      <c r="K2" s="2">
        <v>1055.8599999999999</v>
      </c>
      <c r="L2" s="2">
        <v>18239.95</v>
      </c>
    </row>
    <row r="3" spans="1:12">
      <c r="A3" s="2" t="s">
        <v>84</v>
      </c>
      <c r="B3" s="11" t="s">
        <v>1215</v>
      </c>
      <c r="C3" s="2">
        <v>395997.76</v>
      </c>
      <c r="D3" s="2">
        <v>276578.21999999997</v>
      </c>
      <c r="E3" s="2">
        <v>119419.54</v>
      </c>
      <c r="F3" s="2">
        <v>57426.99</v>
      </c>
      <c r="G3" s="2">
        <v>61992.55</v>
      </c>
      <c r="H3" s="22">
        <v>30.16</v>
      </c>
      <c r="I3" s="2">
        <v>15.65</v>
      </c>
      <c r="J3" s="2">
        <v>1364</v>
      </c>
      <c r="K3" s="2">
        <v>2255.4899999999998</v>
      </c>
      <c r="L3" s="2">
        <v>21907.03</v>
      </c>
    </row>
    <row r="4" spans="1:12">
      <c r="A4" s="2" t="s">
        <v>66</v>
      </c>
      <c r="B4" s="11" t="s">
        <v>1215</v>
      </c>
      <c r="C4" s="2">
        <v>1037713.82</v>
      </c>
      <c r="D4" s="2">
        <v>527079.29</v>
      </c>
      <c r="E4" s="2">
        <v>510634.53</v>
      </c>
      <c r="F4" s="2">
        <v>68045.06</v>
      </c>
      <c r="G4" s="2">
        <v>442589.47</v>
      </c>
      <c r="H4" s="22">
        <v>49.21</v>
      </c>
      <c r="I4" s="2">
        <v>42.65</v>
      </c>
      <c r="J4" s="2">
        <v>2726</v>
      </c>
      <c r="K4" s="2">
        <v>1125.77</v>
      </c>
      <c r="L4" s="2">
        <v>30172.51</v>
      </c>
    </row>
    <row r="5" spans="1:12">
      <c r="A5" s="2" t="s">
        <v>130</v>
      </c>
      <c r="B5" s="11" t="s">
        <v>1215</v>
      </c>
      <c r="C5" s="2">
        <v>1707705.6</v>
      </c>
      <c r="D5" s="2">
        <v>1089841.19</v>
      </c>
      <c r="E5" s="2">
        <v>617864.41</v>
      </c>
      <c r="F5" s="2">
        <v>100201.14</v>
      </c>
      <c r="G5" s="2">
        <v>517663.27</v>
      </c>
      <c r="H5" s="22">
        <v>36.18</v>
      </c>
      <c r="I5" s="2">
        <v>30.31</v>
      </c>
      <c r="J5" s="2">
        <v>1769</v>
      </c>
      <c r="K5" s="2">
        <v>1061.43</v>
      </c>
      <c r="L5" s="2">
        <v>60136.51</v>
      </c>
    </row>
    <row r="6" spans="1:12">
      <c r="A6" s="2" t="s">
        <v>95</v>
      </c>
      <c r="B6" s="11" t="s">
        <v>1215</v>
      </c>
      <c r="C6" s="4">
        <f>AVERAGEIFS(C:C, A:A, A2, B:B, B2)</f>
        <v>233070.01</v>
      </c>
      <c r="D6" s="2">
        <v>754696.12</v>
      </c>
      <c r="E6" s="2">
        <v>666419.99</v>
      </c>
      <c r="F6" s="2">
        <v>195895.06</v>
      </c>
      <c r="G6" s="2">
        <v>470524.93</v>
      </c>
      <c r="H6" s="22">
        <v>46.89</v>
      </c>
      <c r="I6" s="2">
        <v>33.11</v>
      </c>
      <c r="J6" s="2">
        <v>2559</v>
      </c>
      <c r="K6" s="2">
        <v>2046.83</v>
      </c>
      <c r="L6" s="2">
        <v>36561.33</v>
      </c>
    </row>
    <row r="7" spans="1:12">
      <c r="A7" s="2" t="s">
        <v>59</v>
      </c>
      <c r="B7" s="11" t="s">
        <v>1215</v>
      </c>
      <c r="C7" s="2">
        <v>776834.87</v>
      </c>
      <c r="D7" s="2">
        <v>523962.12</v>
      </c>
      <c r="E7" s="2">
        <v>252872.75</v>
      </c>
      <c r="F7" s="2">
        <v>115606.22</v>
      </c>
      <c r="G7" s="2">
        <v>137266.53</v>
      </c>
      <c r="H7" s="22">
        <v>32.549999999999997</v>
      </c>
      <c r="I7" s="2">
        <v>17.670000000000002</v>
      </c>
      <c r="J7" s="2">
        <v>1932</v>
      </c>
      <c r="K7" s="2">
        <v>1186.8699999999999</v>
      </c>
      <c r="L7" s="2">
        <v>3938.19</v>
      </c>
    </row>
    <row r="8" spans="1:12">
      <c r="A8" s="2" t="s">
        <v>120</v>
      </c>
      <c r="B8" s="11" t="s">
        <v>1215</v>
      </c>
      <c r="C8" s="2">
        <v>231581.14</v>
      </c>
      <c r="D8" s="2">
        <v>119237.49</v>
      </c>
      <c r="E8" s="2">
        <v>112343.65</v>
      </c>
      <c r="F8" s="2">
        <v>128881.26</v>
      </c>
      <c r="G8" s="2">
        <v>16537.61</v>
      </c>
      <c r="H8" s="22">
        <v>48.51</v>
      </c>
      <c r="I8" s="2">
        <v>-7.14</v>
      </c>
      <c r="J8" s="2">
        <v>798</v>
      </c>
      <c r="K8" s="2">
        <v>1322.98</v>
      </c>
      <c r="L8" s="2">
        <v>16272.14</v>
      </c>
    </row>
    <row r="9" spans="1:12">
      <c r="A9" s="2" t="s">
        <v>190</v>
      </c>
      <c r="B9" s="11" t="s">
        <v>1215</v>
      </c>
      <c r="C9" s="2">
        <v>670997.49</v>
      </c>
      <c r="D9" s="2">
        <v>359590.18</v>
      </c>
      <c r="E9" s="2">
        <v>311407.31</v>
      </c>
      <c r="F9" s="2">
        <v>176144.29</v>
      </c>
      <c r="G9" s="2">
        <v>135263.01999999999</v>
      </c>
      <c r="H9" s="22">
        <v>46.409608775138636</v>
      </c>
      <c r="I9" s="2">
        <v>20.16</v>
      </c>
      <c r="J9" s="2">
        <v>2438</v>
      </c>
      <c r="K9" s="2">
        <v>356.55</v>
      </c>
      <c r="L9" s="2">
        <v>41009.480000000003</v>
      </c>
    </row>
    <row r="10" spans="1:12">
      <c r="A10" s="2" t="s">
        <v>167</v>
      </c>
      <c r="B10" s="11" t="s">
        <v>1215</v>
      </c>
      <c r="C10" s="2">
        <v>1678457.66</v>
      </c>
      <c r="D10" s="2">
        <v>764148.99</v>
      </c>
      <c r="E10" s="2">
        <v>914308.67</v>
      </c>
      <c r="F10" s="2">
        <v>194356.88</v>
      </c>
      <c r="G10" s="2">
        <v>719951.79</v>
      </c>
      <c r="H10" s="22">
        <v>54.47</v>
      </c>
      <c r="I10" s="2">
        <v>42.89</v>
      </c>
      <c r="J10" s="2">
        <v>2681</v>
      </c>
      <c r="K10" s="2">
        <v>411.39</v>
      </c>
      <c r="L10" s="2">
        <v>99290.8</v>
      </c>
    </row>
    <row r="11" spans="1:12">
      <c r="A11" s="2" t="s">
        <v>73</v>
      </c>
      <c r="B11" s="11" t="s">
        <v>1215</v>
      </c>
      <c r="C11" s="2">
        <v>949554.18</v>
      </c>
      <c r="D11" s="2">
        <v>445539.24</v>
      </c>
      <c r="E11" s="2">
        <v>504014.94</v>
      </c>
      <c r="F11" s="2">
        <v>160603.07999999999</v>
      </c>
      <c r="G11" s="2">
        <v>343411.86</v>
      </c>
      <c r="H11" s="22">
        <v>53.08</v>
      </c>
      <c r="I11" s="2">
        <v>36.17</v>
      </c>
      <c r="J11" s="2">
        <v>2972</v>
      </c>
      <c r="K11" s="2">
        <v>601.78</v>
      </c>
      <c r="L11" s="2">
        <v>24966.27</v>
      </c>
    </row>
    <row r="12" spans="1:12">
      <c r="A12" s="3" t="s">
        <v>107</v>
      </c>
      <c r="B12" s="12" t="s">
        <v>1216</v>
      </c>
      <c r="C12" s="3">
        <v>1102252.6299999999</v>
      </c>
      <c r="D12" s="3">
        <v>719741.43999999994</v>
      </c>
      <c r="E12" s="3">
        <v>382511.19</v>
      </c>
      <c r="F12" s="3">
        <v>136384.70000000001</v>
      </c>
      <c r="G12" s="2">
        <v>246126.49</v>
      </c>
      <c r="H12" s="22">
        <v>34.700000000000003</v>
      </c>
      <c r="I12" s="3">
        <v>22.33</v>
      </c>
      <c r="J12" s="3">
        <v>1785</v>
      </c>
      <c r="K12" s="3">
        <v>3149.29</v>
      </c>
      <c r="L12" s="3">
        <v>71854.41</v>
      </c>
    </row>
    <row r="13" spans="1:12">
      <c r="A13" s="3" t="s">
        <v>84</v>
      </c>
      <c r="B13" s="12" t="s">
        <v>1216</v>
      </c>
      <c r="C13" s="3">
        <v>1270944.18</v>
      </c>
      <c r="D13" s="3">
        <v>822080.88</v>
      </c>
      <c r="E13" s="3">
        <v>448863.3</v>
      </c>
      <c r="F13" s="3">
        <v>60161.279999999999</v>
      </c>
      <c r="G13" s="2">
        <v>388702.02</v>
      </c>
      <c r="H13" s="22">
        <v>35.32</v>
      </c>
      <c r="I13" s="3">
        <v>30.58</v>
      </c>
      <c r="J13" s="3">
        <v>2065</v>
      </c>
      <c r="K13" s="3">
        <v>2697.87</v>
      </c>
      <c r="L13" s="3">
        <v>36622.370000000003</v>
      </c>
    </row>
    <row r="14" spans="1:12">
      <c r="A14" s="3" t="s">
        <v>66</v>
      </c>
      <c r="B14" s="12" t="s">
        <v>1216</v>
      </c>
      <c r="C14" s="3">
        <v>530035.53</v>
      </c>
      <c r="D14" s="3">
        <v>360061.67</v>
      </c>
      <c r="E14" s="3">
        <v>169973.86</v>
      </c>
      <c r="F14" s="3">
        <v>86155.75</v>
      </c>
      <c r="G14" s="2">
        <v>83818.11</v>
      </c>
      <c r="H14" s="22">
        <v>32.07</v>
      </c>
      <c r="I14" s="3">
        <v>15.81</v>
      </c>
      <c r="J14" s="3">
        <v>1530</v>
      </c>
      <c r="K14" s="3">
        <v>1750.51</v>
      </c>
      <c r="L14" s="3">
        <v>1283.29</v>
      </c>
    </row>
    <row r="15" spans="1:12">
      <c r="A15" s="3" t="s">
        <v>130</v>
      </c>
      <c r="B15" s="12" t="s">
        <v>1216</v>
      </c>
      <c r="C15" s="3">
        <v>1347634.4</v>
      </c>
      <c r="D15" s="3">
        <v>677474.93</v>
      </c>
      <c r="E15" s="3">
        <v>670159.47</v>
      </c>
      <c r="F15" s="3">
        <v>154841.39000000001</v>
      </c>
      <c r="G15" s="2">
        <v>515318.08</v>
      </c>
      <c r="H15" s="22">
        <v>49.73</v>
      </c>
      <c r="I15" s="3">
        <v>38.24</v>
      </c>
      <c r="J15" s="3">
        <v>1613</v>
      </c>
      <c r="K15" s="3">
        <v>473.84</v>
      </c>
      <c r="L15" s="3">
        <v>28504.68</v>
      </c>
    </row>
    <row r="16" spans="1:12">
      <c r="A16" s="3" t="s">
        <v>95</v>
      </c>
      <c r="B16" s="12" t="s">
        <v>1216</v>
      </c>
      <c r="C16" s="3">
        <v>1936446.3</v>
      </c>
      <c r="D16" s="3">
        <v>974628.84</v>
      </c>
      <c r="E16" s="3">
        <v>961817.46</v>
      </c>
      <c r="F16" s="3">
        <v>37749.71</v>
      </c>
      <c r="G16" s="2">
        <v>924067.75</v>
      </c>
      <c r="H16" s="22">
        <v>49.67</v>
      </c>
      <c r="I16" s="3">
        <v>47.72</v>
      </c>
      <c r="J16" s="3">
        <v>910</v>
      </c>
      <c r="K16" s="3">
        <v>1373.61</v>
      </c>
      <c r="L16" s="3">
        <v>18705.37</v>
      </c>
    </row>
    <row r="17" spans="1:15">
      <c r="A17" s="3" t="s">
        <v>59</v>
      </c>
      <c r="B17" s="12" t="s">
        <v>1216</v>
      </c>
      <c r="C17" s="3">
        <v>821407.85</v>
      </c>
      <c r="D17" s="3">
        <v>469481.18</v>
      </c>
      <c r="E17" s="3">
        <v>351926.67</v>
      </c>
      <c r="F17" s="3">
        <v>119536.04</v>
      </c>
      <c r="G17" s="2">
        <v>232390.63</v>
      </c>
      <c r="H17" s="22">
        <v>42.84</v>
      </c>
      <c r="I17" s="3">
        <v>28.29</v>
      </c>
      <c r="J17" s="3">
        <v>702</v>
      </c>
      <c r="K17" s="3">
        <v>1804.52</v>
      </c>
      <c r="L17" s="3">
        <v>34952.839999999997</v>
      </c>
    </row>
    <row r="18" spans="1:15">
      <c r="A18" s="3" t="s">
        <v>120</v>
      </c>
      <c r="B18" s="12" t="s">
        <v>1216</v>
      </c>
      <c r="C18" s="3">
        <v>443895.31</v>
      </c>
      <c r="D18" s="3">
        <v>217875.9</v>
      </c>
      <c r="E18" s="3">
        <v>226019.41</v>
      </c>
      <c r="F18" s="3">
        <v>76353.960000000006</v>
      </c>
      <c r="G18" s="2">
        <v>149665.45000000001</v>
      </c>
      <c r="H18" s="22">
        <v>50.92</v>
      </c>
      <c r="I18" s="3">
        <v>33.72</v>
      </c>
      <c r="J18" s="3">
        <v>1918</v>
      </c>
      <c r="K18" s="3">
        <v>2335.9899999999998</v>
      </c>
      <c r="L18" s="3">
        <v>33919.15</v>
      </c>
    </row>
    <row r="19" spans="1:15">
      <c r="A19" s="3" t="s">
        <v>190</v>
      </c>
      <c r="B19" s="12" t="s">
        <v>1216</v>
      </c>
      <c r="C19" s="3">
        <v>1983280.82</v>
      </c>
      <c r="D19" s="3">
        <v>1328860.46</v>
      </c>
      <c r="E19" s="3">
        <v>654420.36</v>
      </c>
      <c r="F19" s="3">
        <v>50252.800000000003</v>
      </c>
      <c r="G19" s="2">
        <v>604167.56000000006</v>
      </c>
      <c r="H19" s="22">
        <v>33</v>
      </c>
      <c r="I19" s="3">
        <v>30.46</v>
      </c>
      <c r="J19" s="3">
        <v>2043</v>
      </c>
      <c r="K19" s="3">
        <v>1306.5899999999999</v>
      </c>
      <c r="L19" s="3">
        <v>59710.49</v>
      </c>
    </row>
    <row r="20" spans="1:15">
      <c r="A20" s="3" t="s">
        <v>167</v>
      </c>
      <c r="B20" s="12" t="s">
        <v>1216</v>
      </c>
      <c r="C20" s="3">
        <v>1638094.38</v>
      </c>
      <c r="D20" s="3">
        <v>759532.09</v>
      </c>
      <c r="E20" s="3">
        <v>878562.29</v>
      </c>
      <c r="F20" s="3">
        <v>185967.74</v>
      </c>
      <c r="G20" s="2">
        <v>692594.55</v>
      </c>
      <c r="H20" s="22">
        <v>53.63</v>
      </c>
      <c r="I20" s="3">
        <v>42.28</v>
      </c>
      <c r="J20" s="3">
        <v>2950</v>
      </c>
      <c r="K20" s="3">
        <v>1066.96</v>
      </c>
      <c r="L20" s="3">
        <v>72433.64</v>
      </c>
      <c r="N20" s="19"/>
      <c r="O20" s="24"/>
    </row>
    <row r="21" spans="1:15">
      <c r="A21" s="3" t="s">
        <v>73</v>
      </c>
      <c r="B21" s="12" t="s">
        <v>1216</v>
      </c>
      <c r="C21" s="3">
        <v>711706.25</v>
      </c>
      <c r="D21" s="3">
        <v>494873.28</v>
      </c>
      <c r="E21" s="3">
        <v>216832.97</v>
      </c>
      <c r="F21" s="3">
        <v>50738.46</v>
      </c>
      <c r="G21" s="2">
        <v>166094.51</v>
      </c>
      <c r="H21" s="22">
        <v>30.47</v>
      </c>
      <c r="I21" s="3">
        <v>23.34</v>
      </c>
      <c r="J21" s="3">
        <v>1730</v>
      </c>
      <c r="K21" s="3">
        <v>2189.08</v>
      </c>
      <c r="L21" s="3">
        <v>54159.13</v>
      </c>
      <c r="N21" s="19"/>
      <c r="O21" s="24"/>
    </row>
    <row r="22" spans="1:15">
      <c r="A22" s="2" t="s">
        <v>107</v>
      </c>
      <c r="B22" s="11" t="s">
        <v>1217</v>
      </c>
      <c r="C22" s="2">
        <v>253038.62</v>
      </c>
      <c r="D22" s="2">
        <v>148972.65</v>
      </c>
      <c r="E22" s="2">
        <v>104065.97</v>
      </c>
      <c r="F22" s="2">
        <v>77632.95</v>
      </c>
      <c r="G22" s="2">
        <v>26433.02</v>
      </c>
      <c r="H22" s="22">
        <v>41.13</v>
      </c>
      <c r="I22" s="2">
        <v>10.45</v>
      </c>
      <c r="J22" s="2">
        <v>821</v>
      </c>
      <c r="K22" s="2">
        <v>1393.72</v>
      </c>
      <c r="L22" s="2">
        <v>7952.43</v>
      </c>
      <c r="N22" s="19"/>
      <c r="O22" s="24"/>
    </row>
    <row r="23" spans="1:15">
      <c r="A23" s="2" t="s">
        <v>84</v>
      </c>
      <c r="B23" s="11" t="s">
        <v>1217</v>
      </c>
      <c r="C23" s="2">
        <v>264512.08</v>
      </c>
      <c r="D23" s="2">
        <v>169850.61</v>
      </c>
      <c r="E23" s="2">
        <v>94661.47</v>
      </c>
      <c r="F23" s="2">
        <v>84879.71</v>
      </c>
      <c r="G23" s="2">
        <v>9781.76</v>
      </c>
      <c r="H23" s="22">
        <v>35.79</v>
      </c>
      <c r="I23" s="2">
        <v>3.7</v>
      </c>
      <c r="J23" s="2">
        <v>1752</v>
      </c>
      <c r="K23" s="2">
        <v>2924.85</v>
      </c>
      <c r="L23" s="2">
        <v>16049.37</v>
      </c>
      <c r="N23" s="19"/>
      <c r="O23" s="24"/>
    </row>
    <row r="24" spans="1:15">
      <c r="A24" s="2" t="s">
        <v>66</v>
      </c>
      <c r="B24" s="11" t="s">
        <v>1217</v>
      </c>
      <c r="C24" s="2">
        <v>1055601.8500000001</v>
      </c>
      <c r="D24" s="2">
        <v>567766.23</v>
      </c>
      <c r="E24" s="2">
        <v>487835.62</v>
      </c>
      <c r="F24" s="2">
        <v>108411.09</v>
      </c>
      <c r="G24" s="2">
        <v>379424.53</v>
      </c>
      <c r="H24" s="22">
        <v>46.21</v>
      </c>
      <c r="I24" s="2">
        <v>35.94</v>
      </c>
      <c r="J24" s="2">
        <v>899</v>
      </c>
      <c r="K24" s="2">
        <v>1203.22</v>
      </c>
      <c r="L24" s="2">
        <v>29439.93</v>
      </c>
      <c r="N24" s="19"/>
      <c r="O24" s="24"/>
    </row>
    <row r="25" spans="1:15">
      <c r="A25" s="2" t="s">
        <v>130</v>
      </c>
      <c r="B25" s="11" t="s">
        <v>1217</v>
      </c>
      <c r="C25" s="2">
        <v>1675155.82</v>
      </c>
      <c r="D25" s="2">
        <v>775816.25</v>
      </c>
      <c r="E25" s="2">
        <v>899339.57</v>
      </c>
      <c r="F25" s="2">
        <v>108882.54</v>
      </c>
      <c r="G25" s="2">
        <v>790457.03</v>
      </c>
      <c r="H25" s="22">
        <v>53.69</v>
      </c>
      <c r="I25" s="2">
        <v>47.19</v>
      </c>
      <c r="J25" s="2">
        <v>2150</v>
      </c>
      <c r="K25" s="2">
        <v>1264.3699999999999</v>
      </c>
      <c r="L25" s="2">
        <v>99993.47</v>
      </c>
      <c r="N25" s="19"/>
      <c r="O25" s="24"/>
    </row>
    <row r="26" spans="1:15">
      <c r="A26" s="2" t="s">
        <v>95</v>
      </c>
      <c r="B26" s="11" t="s">
        <v>1217</v>
      </c>
      <c r="C26" s="2">
        <v>454226.24</v>
      </c>
      <c r="D26" s="2">
        <v>251545.3</v>
      </c>
      <c r="E26" s="2">
        <v>202680.94</v>
      </c>
      <c r="F26" s="2">
        <v>148370.28</v>
      </c>
      <c r="G26" s="2">
        <v>54310.66</v>
      </c>
      <c r="H26" s="22">
        <v>44.62</v>
      </c>
      <c r="I26" s="2">
        <v>11.96</v>
      </c>
      <c r="J26" s="2">
        <v>2466</v>
      </c>
      <c r="K26" s="2">
        <v>828.02</v>
      </c>
      <c r="L26" s="2">
        <v>8853.58</v>
      </c>
      <c r="N26" s="19"/>
      <c r="O26" s="24"/>
    </row>
    <row r="27" spans="1:15">
      <c r="A27" s="2" t="s">
        <v>59</v>
      </c>
      <c r="B27" s="11" t="s">
        <v>1217</v>
      </c>
      <c r="C27" s="2">
        <v>1685682.23</v>
      </c>
      <c r="D27" s="2">
        <v>1137604.23</v>
      </c>
      <c r="E27" s="2">
        <v>548078</v>
      </c>
      <c r="F27" s="2">
        <v>106836.33</v>
      </c>
      <c r="G27" s="2">
        <v>441241.67</v>
      </c>
      <c r="H27" s="22">
        <v>32.51</v>
      </c>
      <c r="I27" s="2">
        <v>26.18</v>
      </c>
      <c r="J27" s="4">
        <v>1567.5882352941176</v>
      </c>
      <c r="K27" s="2">
        <v>2859.69</v>
      </c>
      <c r="L27" s="2">
        <v>127486.84</v>
      </c>
      <c r="N27" s="19"/>
      <c r="O27" s="24"/>
    </row>
    <row r="28" spans="1:15">
      <c r="A28" s="2" t="s">
        <v>120</v>
      </c>
      <c r="B28" s="11" t="s">
        <v>1217</v>
      </c>
      <c r="C28" s="2">
        <v>287686.82</v>
      </c>
      <c r="D28" s="2">
        <v>150436.04999999999</v>
      </c>
      <c r="E28" s="2">
        <v>137250.76999999999</v>
      </c>
      <c r="F28" s="2">
        <v>138620.91</v>
      </c>
      <c r="G28" s="2">
        <v>1370.14</v>
      </c>
      <c r="H28" s="22">
        <v>47.71</v>
      </c>
      <c r="I28" s="2">
        <v>-0.48</v>
      </c>
      <c r="J28" s="2">
        <v>514</v>
      </c>
      <c r="K28" s="2">
        <v>1944.37</v>
      </c>
      <c r="L28" s="2">
        <v>17639.63</v>
      </c>
      <c r="N28" s="19"/>
      <c r="O28" s="24"/>
    </row>
    <row r="29" spans="1:15">
      <c r="A29" s="2" t="s">
        <v>190</v>
      </c>
      <c r="B29" s="11" t="s">
        <v>1217</v>
      </c>
      <c r="C29" s="2">
        <v>1027381.23</v>
      </c>
      <c r="D29" s="2">
        <v>470761.44</v>
      </c>
      <c r="E29" s="2">
        <v>556619.79</v>
      </c>
      <c r="F29" s="2">
        <v>124633.31</v>
      </c>
      <c r="G29" s="2">
        <v>431986.48</v>
      </c>
      <c r="H29" s="22">
        <v>54.18</v>
      </c>
      <c r="I29" s="2">
        <v>42.05</v>
      </c>
      <c r="J29" s="2">
        <v>1441</v>
      </c>
      <c r="K29" s="2">
        <v>3131.04</v>
      </c>
      <c r="L29" s="2">
        <v>13491.1</v>
      </c>
      <c r="N29" s="19"/>
      <c r="O29" s="24"/>
    </row>
    <row r="30" spans="1:15">
      <c r="A30" s="2" t="s">
        <v>167</v>
      </c>
      <c r="B30" s="11" t="s">
        <v>1217</v>
      </c>
      <c r="C30" s="2">
        <v>756683.3</v>
      </c>
      <c r="D30" s="2">
        <v>521824.62</v>
      </c>
      <c r="E30" s="2">
        <v>234858.68</v>
      </c>
      <c r="F30" s="2">
        <v>91685.37</v>
      </c>
      <c r="G30" s="2">
        <v>143173.31</v>
      </c>
      <c r="H30" s="22">
        <v>31.04</v>
      </c>
      <c r="I30" s="2">
        <v>18.920000000000002</v>
      </c>
      <c r="J30" s="2">
        <v>699</v>
      </c>
      <c r="K30" s="2">
        <v>2011.71</v>
      </c>
      <c r="L30" s="2">
        <v>14309.3</v>
      </c>
      <c r="N30" s="19"/>
    </row>
    <row r="31" spans="1:15">
      <c r="A31" s="2" t="s">
        <v>73</v>
      </c>
      <c r="B31" s="11" t="s">
        <v>1217</v>
      </c>
      <c r="C31" s="2">
        <v>1706558.98</v>
      </c>
      <c r="D31" s="2">
        <v>833558.27</v>
      </c>
      <c r="E31" s="2">
        <v>873000.71</v>
      </c>
      <c r="F31" s="2">
        <v>43780.75</v>
      </c>
      <c r="G31" s="2">
        <v>829219.96</v>
      </c>
      <c r="H31" s="22">
        <v>51.16</v>
      </c>
      <c r="I31" s="2">
        <v>48.59</v>
      </c>
      <c r="J31" s="2">
        <v>2901</v>
      </c>
      <c r="K31" s="2">
        <v>1835.54</v>
      </c>
      <c r="L31" s="2">
        <v>85786.23</v>
      </c>
    </row>
    <row r="32" spans="1:15">
      <c r="A32" s="3" t="s">
        <v>107</v>
      </c>
      <c r="B32" s="12" t="s">
        <v>1218</v>
      </c>
      <c r="C32" s="3">
        <v>447069.22</v>
      </c>
      <c r="D32" s="3">
        <v>282758.95</v>
      </c>
      <c r="E32" s="3">
        <v>164310.26999999999</v>
      </c>
      <c r="F32" s="3">
        <v>118522.03</v>
      </c>
      <c r="G32" s="2">
        <v>45788.24</v>
      </c>
      <c r="H32" s="22">
        <v>36.75</v>
      </c>
      <c r="I32" s="3">
        <v>10.24</v>
      </c>
      <c r="J32" s="3">
        <v>2977</v>
      </c>
      <c r="K32" s="3">
        <v>2259.83</v>
      </c>
      <c r="L32" s="3">
        <v>22372.22</v>
      </c>
    </row>
    <row r="33" spans="1:12">
      <c r="A33" s="3" t="s">
        <v>84</v>
      </c>
      <c r="B33" s="12" t="s">
        <v>1218</v>
      </c>
      <c r="C33" s="3">
        <v>1717957.33</v>
      </c>
      <c r="D33" s="3">
        <v>800965.77</v>
      </c>
      <c r="E33" s="3">
        <v>916991.56</v>
      </c>
      <c r="F33" s="3">
        <v>110038.86</v>
      </c>
      <c r="G33" s="2">
        <v>806952.7</v>
      </c>
      <c r="H33" s="22">
        <v>53.38</v>
      </c>
      <c r="I33" s="3">
        <v>46.97</v>
      </c>
      <c r="J33" s="3">
        <v>699</v>
      </c>
      <c r="K33" s="3">
        <v>2522.7800000000002</v>
      </c>
      <c r="L33" s="3">
        <v>37715.15</v>
      </c>
    </row>
    <row r="34" spans="1:12">
      <c r="A34" s="3" t="s">
        <v>66</v>
      </c>
      <c r="B34" s="12" t="s">
        <v>1218</v>
      </c>
      <c r="C34" s="3">
        <v>1234420.8600000001</v>
      </c>
      <c r="D34" s="3">
        <v>712245.3</v>
      </c>
      <c r="E34" s="3">
        <v>522175.56</v>
      </c>
      <c r="F34" s="3">
        <v>98966.62</v>
      </c>
      <c r="G34" s="2">
        <v>423208.94</v>
      </c>
      <c r="H34" s="22">
        <v>42.3</v>
      </c>
      <c r="I34" s="3">
        <v>34.28</v>
      </c>
      <c r="J34" s="3">
        <v>638</v>
      </c>
      <c r="K34" s="3">
        <v>1342.78</v>
      </c>
      <c r="L34" s="3">
        <v>64135.71</v>
      </c>
    </row>
    <row r="35" spans="1:12">
      <c r="A35" s="3" t="s">
        <v>130</v>
      </c>
      <c r="B35" s="12" t="s">
        <v>1218</v>
      </c>
      <c r="C35" s="3">
        <v>1554370.14</v>
      </c>
      <c r="D35" s="3">
        <v>906400.18</v>
      </c>
      <c r="E35" s="3">
        <v>647969.96</v>
      </c>
      <c r="F35" s="3">
        <v>94566.14</v>
      </c>
      <c r="G35" s="2">
        <v>553403.81999999995</v>
      </c>
      <c r="H35" s="22">
        <v>41.69</v>
      </c>
      <c r="I35" s="3">
        <v>35.6</v>
      </c>
      <c r="J35" s="3">
        <v>1797</v>
      </c>
      <c r="K35" s="3">
        <v>1818.69</v>
      </c>
      <c r="L35" s="3">
        <v>18049.330000000002</v>
      </c>
    </row>
    <row r="36" spans="1:12">
      <c r="A36" s="3" t="s">
        <v>95</v>
      </c>
      <c r="B36" s="12" t="s">
        <v>1218</v>
      </c>
      <c r="C36" s="3">
        <v>1247574.44</v>
      </c>
      <c r="D36" s="3">
        <v>603006.02</v>
      </c>
      <c r="E36" s="3">
        <v>644568.42000000004</v>
      </c>
      <c r="F36" s="3">
        <v>164478.89000000001</v>
      </c>
      <c r="G36" s="2">
        <v>480089.53</v>
      </c>
      <c r="H36" s="22">
        <v>51.67</v>
      </c>
      <c r="I36" s="3">
        <v>38.479999999999997</v>
      </c>
      <c r="J36" s="3">
        <v>2789</v>
      </c>
      <c r="K36" s="3">
        <v>2259.81</v>
      </c>
      <c r="L36" s="3">
        <v>77615.259999999995</v>
      </c>
    </row>
    <row r="37" spans="1:12">
      <c r="A37" s="3" t="s">
        <v>59</v>
      </c>
      <c r="B37" s="12" t="s">
        <v>1218</v>
      </c>
      <c r="C37" s="3">
        <v>1655832.58</v>
      </c>
      <c r="D37" s="3">
        <v>1134607.8999999999</v>
      </c>
      <c r="E37" s="3">
        <v>521224.68</v>
      </c>
      <c r="F37" s="3">
        <v>41156.69</v>
      </c>
      <c r="G37" s="2">
        <v>480067.99</v>
      </c>
      <c r="H37" s="22">
        <v>31.48</v>
      </c>
      <c r="I37" s="3">
        <v>28.99</v>
      </c>
      <c r="J37" s="4">
        <v>1567.5882352941176</v>
      </c>
      <c r="K37" s="3">
        <v>579.39</v>
      </c>
      <c r="L37" s="3">
        <v>51752.39</v>
      </c>
    </row>
    <row r="38" spans="1:12">
      <c r="A38" s="3" t="s">
        <v>120</v>
      </c>
      <c r="B38" s="12" t="s">
        <v>1218</v>
      </c>
      <c r="C38" s="3">
        <v>529845.5</v>
      </c>
      <c r="D38" s="3">
        <v>250949.22</v>
      </c>
      <c r="E38" s="3">
        <v>278896.28000000003</v>
      </c>
      <c r="F38" s="3">
        <v>157946.85</v>
      </c>
      <c r="G38" s="2">
        <v>120949.43</v>
      </c>
      <c r="H38" s="22">
        <v>52.64</v>
      </c>
      <c r="I38" s="3">
        <v>22.83</v>
      </c>
      <c r="J38" s="3">
        <v>2427</v>
      </c>
      <c r="K38" s="3">
        <v>1332.34</v>
      </c>
      <c r="L38" s="3">
        <v>13403.41</v>
      </c>
    </row>
    <row r="39" spans="1:12">
      <c r="A39" s="3" t="s">
        <v>190</v>
      </c>
      <c r="B39" s="12" t="s">
        <v>1218</v>
      </c>
      <c r="C39" s="3">
        <v>975226.01</v>
      </c>
      <c r="D39" s="3">
        <v>515031.41</v>
      </c>
      <c r="E39" s="3">
        <v>460194.6</v>
      </c>
      <c r="F39" s="3">
        <v>96143.679999999993</v>
      </c>
      <c r="G39" s="2">
        <v>364050.92</v>
      </c>
      <c r="H39" s="22">
        <v>47.19</v>
      </c>
      <c r="I39" s="3">
        <v>37.33</v>
      </c>
      <c r="J39" s="3">
        <v>648</v>
      </c>
      <c r="K39" s="3">
        <v>2120.34</v>
      </c>
      <c r="L39" s="3">
        <v>38272.06</v>
      </c>
    </row>
    <row r="40" spans="1:12">
      <c r="A40" s="3" t="s">
        <v>167</v>
      </c>
      <c r="B40" s="12" t="s">
        <v>1218</v>
      </c>
      <c r="C40" s="3">
        <v>996325.04</v>
      </c>
      <c r="D40" s="3">
        <v>450305.57</v>
      </c>
      <c r="E40" s="3">
        <v>546019.47</v>
      </c>
      <c r="F40" s="3">
        <v>193327.15</v>
      </c>
      <c r="G40" s="2">
        <v>352692.32</v>
      </c>
      <c r="H40" s="22">
        <v>54.8</v>
      </c>
      <c r="I40" s="3">
        <v>35.4</v>
      </c>
      <c r="J40" s="3">
        <v>1246</v>
      </c>
      <c r="K40" s="3">
        <v>1262.8399999999999</v>
      </c>
      <c r="L40" s="3">
        <v>74630.52</v>
      </c>
    </row>
    <row r="41" spans="1:12">
      <c r="A41" s="3" t="s">
        <v>73</v>
      </c>
      <c r="B41" s="12" t="s">
        <v>1218</v>
      </c>
      <c r="C41" s="3">
        <v>684773.18</v>
      </c>
      <c r="D41" s="3">
        <v>420794.2</v>
      </c>
      <c r="E41" s="3">
        <v>263978.98</v>
      </c>
      <c r="F41" s="3">
        <v>86002.58</v>
      </c>
      <c r="G41" s="2">
        <v>177976.4</v>
      </c>
      <c r="H41" s="22">
        <v>38.549999999999997</v>
      </c>
      <c r="I41" s="3">
        <v>25.99</v>
      </c>
      <c r="J41" s="3">
        <v>379</v>
      </c>
      <c r="K41" s="3">
        <v>2399.75</v>
      </c>
      <c r="L41" s="3">
        <v>52091.839999999997</v>
      </c>
    </row>
    <row r="42" spans="1:12">
      <c r="A42" s="2" t="s">
        <v>107</v>
      </c>
      <c r="B42" s="11" t="s">
        <v>1219</v>
      </c>
      <c r="C42" s="2">
        <v>609370.36</v>
      </c>
      <c r="D42" s="2">
        <v>310833.84999999998</v>
      </c>
      <c r="E42" s="2">
        <v>298536.51</v>
      </c>
      <c r="F42" s="2">
        <v>55967.360000000001</v>
      </c>
      <c r="G42" s="2">
        <v>242569.15</v>
      </c>
      <c r="H42" s="22">
        <v>48.99</v>
      </c>
      <c r="I42" s="2">
        <v>39.81</v>
      </c>
      <c r="J42" s="2">
        <v>1479</v>
      </c>
      <c r="K42" s="2">
        <v>3211.15</v>
      </c>
      <c r="L42" s="2">
        <v>16052.51</v>
      </c>
    </row>
    <row r="43" spans="1:12">
      <c r="A43" s="2" t="s">
        <v>84</v>
      </c>
      <c r="B43" s="11" t="s">
        <v>1219</v>
      </c>
      <c r="C43" s="2">
        <v>1148694.92</v>
      </c>
      <c r="D43" s="2">
        <v>667577.31999999995</v>
      </c>
      <c r="E43" s="2">
        <v>481117.6</v>
      </c>
      <c r="F43" s="2">
        <v>148291.01</v>
      </c>
      <c r="G43" s="2">
        <v>332826.59000000003</v>
      </c>
      <c r="H43" s="22">
        <v>41.88</v>
      </c>
      <c r="I43" s="2">
        <v>28.97</v>
      </c>
      <c r="J43" s="2">
        <v>2706</v>
      </c>
      <c r="K43" s="2">
        <v>486.19</v>
      </c>
      <c r="L43" s="2">
        <v>52506.12</v>
      </c>
    </row>
    <row r="44" spans="1:12">
      <c r="A44" s="2" t="s">
        <v>66</v>
      </c>
      <c r="B44" s="11" t="s">
        <v>1219</v>
      </c>
      <c r="C44" s="2">
        <v>1626375.69</v>
      </c>
      <c r="D44" s="2">
        <v>948480.17</v>
      </c>
      <c r="E44" s="2">
        <v>677895.52</v>
      </c>
      <c r="F44" s="2">
        <v>98138.8</v>
      </c>
      <c r="G44" s="2">
        <v>579756.72</v>
      </c>
      <c r="H44" s="22">
        <v>41.68</v>
      </c>
      <c r="I44" s="2">
        <v>35.65</v>
      </c>
      <c r="J44" s="2">
        <v>1893</v>
      </c>
      <c r="K44" s="2">
        <v>1063.44</v>
      </c>
      <c r="L44" s="2">
        <v>31706.66</v>
      </c>
    </row>
    <row r="45" spans="1:12">
      <c r="A45" s="2" t="s">
        <v>130</v>
      </c>
      <c r="B45" s="11" t="s">
        <v>1219</v>
      </c>
      <c r="C45" s="2">
        <v>1766499.92</v>
      </c>
      <c r="D45" s="2">
        <v>800163.98</v>
      </c>
      <c r="E45" s="2">
        <v>966335.94</v>
      </c>
      <c r="F45" s="2">
        <v>187627.83</v>
      </c>
      <c r="G45" s="2">
        <v>778708.11</v>
      </c>
      <c r="H45" s="22">
        <v>54.7</v>
      </c>
      <c r="I45" s="2">
        <v>44.08</v>
      </c>
      <c r="J45" s="2">
        <v>2038</v>
      </c>
      <c r="K45" s="2">
        <v>1522.41</v>
      </c>
      <c r="L45" s="2">
        <v>44613.11</v>
      </c>
    </row>
    <row r="46" spans="1:12">
      <c r="A46" s="2" t="s">
        <v>95</v>
      </c>
      <c r="B46" s="11" t="s">
        <v>1219</v>
      </c>
      <c r="C46" s="2">
        <v>228134.59</v>
      </c>
      <c r="D46" s="2">
        <v>130434.1</v>
      </c>
      <c r="E46" s="2">
        <v>97700.49</v>
      </c>
      <c r="F46" s="2">
        <v>31079.43</v>
      </c>
      <c r="G46" s="2">
        <v>66621.06</v>
      </c>
      <c r="H46" s="22">
        <v>42.83</v>
      </c>
      <c r="I46" s="2">
        <v>29.2</v>
      </c>
      <c r="J46" s="2">
        <v>934</v>
      </c>
      <c r="K46" s="2">
        <v>3263.64</v>
      </c>
      <c r="L46" s="2">
        <v>12898.57</v>
      </c>
    </row>
    <row r="47" spans="1:12">
      <c r="A47" s="2" t="s">
        <v>59</v>
      </c>
      <c r="B47" s="11" t="s">
        <v>1219</v>
      </c>
      <c r="C47" s="4">
        <f>AVERAGEIFS(C:C, A:A, A2, B:B, B2)</f>
        <v>233070.01</v>
      </c>
      <c r="D47" s="2">
        <v>359856.82</v>
      </c>
      <c r="E47" s="2">
        <v>162004.46</v>
      </c>
      <c r="F47" s="2">
        <v>43081.04</v>
      </c>
      <c r="G47" s="2">
        <v>118923.42</v>
      </c>
      <c r="H47" s="22">
        <v>31.04</v>
      </c>
      <c r="I47" s="2">
        <v>22.79</v>
      </c>
      <c r="J47" s="2">
        <v>874</v>
      </c>
      <c r="K47" s="2">
        <v>1183.02</v>
      </c>
      <c r="L47" s="2">
        <v>29102.41</v>
      </c>
    </row>
    <row r="48" spans="1:12">
      <c r="A48" s="2" t="s">
        <v>120</v>
      </c>
      <c r="B48" s="11" t="s">
        <v>1219</v>
      </c>
      <c r="C48" s="2">
        <v>1720990.79</v>
      </c>
      <c r="D48" s="2">
        <v>1118591.18</v>
      </c>
      <c r="E48" s="2">
        <v>602399.61</v>
      </c>
      <c r="F48" s="2">
        <v>76148.03</v>
      </c>
      <c r="G48" s="2">
        <v>526251.57999999996</v>
      </c>
      <c r="H48" s="22">
        <v>35</v>
      </c>
      <c r="I48" s="2">
        <v>30.58</v>
      </c>
      <c r="J48" s="4">
        <v>1667.4285714285713</v>
      </c>
      <c r="K48" s="2">
        <v>606.66999999999996</v>
      </c>
      <c r="L48" s="2">
        <v>79860.39</v>
      </c>
    </row>
    <row r="49" spans="1:12">
      <c r="A49" s="2" t="s">
        <v>190</v>
      </c>
      <c r="B49" s="11" t="s">
        <v>1219</v>
      </c>
      <c r="C49" s="2">
        <v>1196811.02</v>
      </c>
      <c r="D49" s="2">
        <v>699952.65</v>
      </c>
      <c r="E49" s="2">
        <v>496858.37</v>
      </c>
      <c r="F49" s="2">
        <v>109869.12</v>
      </c>
      <c r="G49" s="2">
        <v>386989.25</v>
      </c>
      <c r="H49" s="22">
        <v>41.52</v>
      </c>
      <c r="I49" s="2">
        <v>32.340000000000003</v>
      </c>
      <c r="J49" s="2">
        <v>2502</v>
      </c>
      <c r="K49" s="2">
        <v>3033.92</v>
      </c>
      <c r="L49" s="2">
        <v>48512.5</v>
      </c>
    </row>
    <row r="50" spans="1:12">
      <c r="A50" s="2" t="s">
        <v>167</v>
      </c>
      <c r="B50" s="11" t="s">
        <v>1219</v>
      </c>
      <c r="C50" s="2">
        <v>1562002.27</v>
      </c>
      <c r="D50" s="2">
        <v>819044.83</v>
      </c>
      <c r="E50" s="2">
        <v>742957.44</v>
      </c>
      <c r="F50" s="2">
        <v>176100.85</v>
      </c>
      <c r="G50" s="2">
        <v>566856.59</v>
      </c>
      <c r="H50" s="22">
        <v>47.56</v>
      </c>
      <c r="I50" s="2">
        <v>36.29</v>
      </c>
      <c r="J50" s="2">
        <v>856</v>
      </c>
      <c r="K50" s="2">
        <v>3230.85</v>
      </c>
      <c r="L50" s="2">
        <v>78893.95</v>
      </c>
    </row>
    <row r="51" spans="1:12">
      <c r="A51" s="2" t="s">
        <v>73</v>
      </c>
      <c r="B51" s="11" t="s">
        <v>1219</v>
      </c>
      <c r="C51" s="2">
        <v>784847.84</v>
      </c>
      <c r="D51" s="2">
        <v>496719.45</v>
      </c>
      <c r="E51" s="2">
        <v>288128.39</v>
      </c>
      <c r="F51" s="2">
        <v>154834.32999999999</v>
      </c>
      <c r="G51" s="2">
        <v>133294.06</v>
      </c>
      <c r="H51" s="22">
        <v>36.71</v>
      </c>
      <c r="I51" s="2">
        <v>16.98</v>
      </c>
      <c r="J51" s="2">
        <v>2531</v>
      </c>
      <c r="K51" s="2">
        <v>713.82</v>
      </c>
      <c r="L51" s="2">
        <v>54203.4</v>
      </c>
    </row>
    <row r="52" spans="1:12">
      <c r="A52" s="3" t="s">
        <v>107</v>
      </c>
      <c r="B52" s="12" t="s">
        <v>1220</v>
      </c>
      <c r="C52" s="3">
        <v>1176020.75</v>
      </c>
      <c r="D52" s="3">
        <v>589997.05000000005</v>
      </c>
      <c r="E52" s="3">
        <v>586023.69999999995</v>
      </c>
      <c r="F52" s="3">
        <v>53558.01</v>
      </c>
      <c r="G52" s="2">
        <v>532465.68999999994</v>
      </c>
      <c r="H52" s="22">
        <v>49.83</v>
      </c>
      <c r="I52" s="3">
        <v>45.28</v>
      </c>
      <c r="J52" s="3">
        <v>2417</v>
      </c>
      <c r="K52" s="3">
        <v>2488.96</v>
      </c>
      <c r="L52" s="3">
        <v>19033.68</v>
      </c>
    </row>
    <row r="53" spans="1:12">
      <c r="A53" s="3" t="s">
        <v>84</v>
      </c>
      <c r="B53" s="12" t="s">
        <v>1220</v>
      </c>
      <c r="C53" s="3">
        <v>1962829.9</v>
      </c>
      <c r="D53" s="3">
        <v>1142831.52</v>
      </c>
      <c r="E53" s="3">
        <v>819998.38</v>
      </c>
      <c r="F53" s="3">
        <v>44903.86</v>
      </c>
      <c r="G53" s="2">
        <v>775094.52</v>
      </c>
      <c r="H53" s="22">
        <v>41.78</v>
      </c>
      <c r="I53" s="3">
        <v>39.49</v>
      </c>
      <c r="J53" s="3">
        <v>2677</v>
      </c>
      <c r="K53" s="3">
        <v>3288.45</v>
      </c>
      <c r="L53" s="3">
        <v>154871.75</v>
      </c>
    </row>
    <row r="54" spans="1:12">
      <c r="A54" s="3" t="s">
        <v>66</v>
      </c>
      <c r="B54" s="12" t="s">
        <v>1220</v>
      </c>
      <c r="C54" s="3">
        <v>486236.52</v>
      </c>
      <c r="D54" s="3">
        <v>277443.48</v>
      </c>
      <c r="E54" s="3">
        <v>208793.04</v>
      </c>
      <c r="F54" s="3">
        <v>41230.19</v>
      </c>
      <c r="G54" s="2">
        <v>167562.85</v>
      </c>
      <c r="H54" s="22">
        <v>42.94</v>
      </c>
      <c r="I54" s="3">
        <v>34.46</v>
      </c>
      <c r="J54" s="3">
        <v>1052</v>
      </c>
      <c r="K54" s="3">
        <v>2904.53</v>
      </c>
      <c r="L54" s="3">
        <v>22988.1</v>
      </c>
    </row>
    <row r="55" spans="1:12">
      <c r="A55" s="3" t="s">
        <v>130</v>
      </c>
      <c r="B55" s="12" t="s">
        <v>1220</v>
      </c>
      <c r="C55" s="3">
        <v>1154456.1599999999</v>
      </c>
      <c r="D55" s="3">
        <v>795382.99</v>
      </c>
      <c r="E55" s="3">
        <v>359073.17</v>
      </c>
      <c r="F55" s="3">
        <v>46551.93</v>
      </c>
      <c r="G55" s="2">
        <v>312521.24</v>
      </c>
      <c r="H55" s="22">
        <v>31.1</v>
      </c>
      <c r="I55" s="3">
        <v>27.07</v>
      </c>
      <c r="J55" s="3">
        <v>2376</v>
      </c>
      <c r="K55" s="3">
        <v>2339.7600000000002</v>
      </c>
      <c r="L55" s="3">
        <v>88309.77</v>
      </c>
    </row>
    <row r="56" spans="1:12">
      <c r="A56" s="3" t="s">
        <v>95</v>
      </c>
      <c r="B56" s="12" t="s">
        <v>1220</v>
      </c>
      <c r="C56" s="3">
        <v>1268714.94</v>
      </c>
      <c r="D56" s="3">
        <v>660915.34</v>
      </c>
      <c r="E56" s="3">
        <v>607799.6</v>
      </c>
      <c r="F56" s="3">
        <v>147895.6</v>
      </c>
      <c r="G56" s="2">
        <v>459904</v>
      </c>
      <c r="H56" s="22">
        <v>47.91</v>
      </c>
      <c r="I56" s="3">
        <v>36.25</v>
      </c>
      <c r="J56" s="3">
        <v>2149</v>
      </c>
      <c r="K56" s="3">
        <v>2515.5500000000002</v>
      </c>
      <c r="L56" s="3">
        <v>20924.68</v>
      </c>
    </row>
    <row r="57" spans="1:12">
      <c r="A57" s="3" t="s">
        <v>59</v>
      </c>
      <c r="B57" s="12" t="s">
        <v>1220</v>
      </c>
      <c r="C57" s="3">
        <v>1093391.72</v>
      </c>
      <c r="D57" s="3">
        <v>731203.84</v>
      </c>
      <c r="E57" s="3">
        <v>362187.88</v>
      </c>
      <c r="F57" s="3">
        <v>118516.9</v>
      </c>
      <c r="G57" s="2">
        <v>243670.98</v>
      </c>
      <c r="H57" s="22">
        <v>33.130000000000003</v>
      </c>
      <c r="I57" s="3">
        <v>22.29</v>
      </c>
      <c r="J57" s="3">
        <v>2769</v>
      </c>
      <c r="K57" s="3">
        <v>372.61</v>
      </c>
      <c r="L57" s="3">
        <v>36435.019999999997</v>
      </c>
    </row>
    <row r="58" spans="1:12">
      <c r="A58" s="3" t="s">
        <v>120</v>
      </c>
      <c r="B58" s="12" t="s">
        <v>1220</v>
      </c>
      <c r="C58" s="3">
        <v>1681966.67</v>
      </c>
      <c r="D58" s="3">
        <v>762308.36</v>
      </c>
      <c r="E58" s="3">
        <v>919658.31</v>
      </c>
      <c r="F58" s="3">
        <v>118089.03</v>
      </c>
      <c r="G58" s="2">
        <v>801569.28000000003</v>
      </c>
      <c r="H58" s="22">
        <v>54.68</v>
      </c>
      <c r="I58" s="3">
        <v>47.66</v>
      </c>
      <c r="J58" s="3">
        <v>1727</v>
      </c>
      <c r="K58" s="3">
        <v>2792.19</v>
      </c>
      <c r="L58" s="3">
        <v>55436.88</v>
      </c>
    </row>
    <row r="59" spans="1:12">
      <c r="A59" s="3" t="s">
        <v>190</v>
      </c>
      <c r="B59" s="12" t="s">
        <v>1220</v>
      </c>
      <c r="C59" s="3">
        <v>904492.68</v>
      </c>
      <c r="D59" s="3">
        <v>518882.83</v>
      </c>
      <c r="E59" s="3">
        <v>385609.85</v>
      </c>
      <c r="F59" s="3">
        <v>195048.03</v>
      </c>
      <c r="G59" s="2">
        <v>190561.82</v>
      </c>
      <c r="H59" s="22">
        <v>42.63</v>
      </c>
      <c r="I59" s="3">
        <v>21.07</v>
      </c>
      <c r="J59" s="4">
        <v>1612.3428571428572</v>
      </c>
      <c r="K59" s="3">
        <v>2464.7600000000002</v>
      </c>
      <c r="L59" s="3">
        <v>55461.38</v>
      </c>
    </row>
    <row r="60" spans="1:12">
      <c r="A60" s="3" t="s">
        <v>167</v>
      </c>
      <c r="B60" s="12" t="s">
        <v>1220</v>
      </c>
      <c r="C60" s="3">
        <v>1783041.05</v>
      </c>
      <c r="D60" s="3">
        <v>1144151.1000000001</v>
      </c>
      <c r="E60" s="3">
        <v>638889.94999999995</v>
      </c>
      <c r="F60" s="3">
        <v>99069.1</v>
      </c>
      <c r="G60" s="2">
        <v>539820.85</v>
      </c>
      <c r="H60" s="22">
        <v>35.83</v>
      </c>
      <c r="I60" s="3">
        <v>30.28</v>
      </c>
      <c r="J60" s="3">
        <v>338</v>
      </c>
      <c r="K60" s="3">
        <v>1176.92</v>
      </c>
      <c r="L60" s="3">
        <v>11424.95</v>
      </c>
    </row>
    <row r="61" spans="1:12">
      <c r="A61" s="3" t="s">
        <v>73</v>
      </c>
      <c r="B61" s="12" t="s">
        <v>1220</v>
      </c>
      <c r="C61" s="3">
        <v>1642804.33</v>
      </c>
      <c r="D61" s="3">
        <v>855471.47</v>
      </c>
      <c r="E61" s="3">
        <v>787332.86</v>
      </c>
      <c r="F61" s="3">
        <v>165684.99</v>
      </c>
      <c r="G61" s="2">
        <v>621647.87</v>
      </c>
      <c r="H61" s="22">
        <v>47.93</v>
      </c>
      <c r="I61" s="3">
        <v>37.840000000000003</v>
      </c>
      <c r="J61" s="3">
        <v>489</v>
      </c>
      <c r="K61" s="3">
        <v>2050.9</v>
      </c>
      <c r="L61" s="3">
        <v>79155.77</v>
      </c>
    </row>
    <row r="62" spans="1:12">
      <c r="A62" s="2" t="s">
        <v>107</v>
      </c>
      <c r="B62" s="11" t="s">
        <v>1221</v>
      </c>
      <c r="C62" s="2">
        <v>448597.35</v>
      </c>
      <c r="D62" s="2">
        <v>279087.23</v>
      </c>
      <c r="E62" s="2">
        <v>169510.12</v>
      </c>
      <c r="F62" s="2">
        <v>182769.34</v>
      </c>
      <c r="G62" s="2">
        <v>13259.22</v>
      </c>
      <c r="H62" s="22">
        <v>37.79</v>
      </c>
      <c r="I62" s="2">
        <v>-2.96</v>
      </c>
      <c r="J62" s="2">
        <v>753</v>
      </c>
      <c r="K62" s="2">
        <v>1676.21</v>
      </c>
      <c r="L62" s="2">
        <v>32622.07</v>
      </c>
    </row>
    <row r="63" spans="1:12">
      <c r="A63" s="2" t="s">
        <v>84</v>
      </c>
      <c r="B63" s="11" t="s">
        <v>1221</v>
      </c>
      <c r="C63" s="2">
        <v>716937.15</v>
      </c>
      <c r="D63" s="2">
        <v>431747.55</v>
      </c>
      <c r="E63" s="2">
        <v>285189.59999999998</v>
      </c>
      <c r="F63" s="2">
        <v>83803.05</v>
      </c>
      <c r="G63" s="2">
        <v>201386.55</v>
      </c>
      <c r="H63" s="22">
        <v>39.78</v>
      </c>
      <c r="I63" s="2">
        <v>28.09</v>
      </c>
      <c r="J63" s="2">
        <v>2352</v>
      </c>
      <c r="K63" s="2">
        <v>2140.46</v>
      </c>
      <c r="L63" s="2">
        <v>35746.15</v>
      </c>
    </row>
    <row r="64" spans="1:12">
      <c r="A64" s="2" t="s">
        <v>66</v>
      </c>
      <c r="B64" s="11" t="s">
        <v>1221</v>
      </c>
      <c r="C64" s="2">
        <v>1611765.16</v>
      </c>
      <c r="D64" s="2">
        <v>900716.31</v>
      </c>
      <c r="E64" s="2">
        <v>711048.85</v>
      </c>
      <c r="F64" s="2">
        <v>163845.54999999999</v>
      </c>
      <c r="G64" s="2">
        <v>547203.30000000005</v>
      </c>
      <c r="H64" s="22">
        <v>44.12</v>
      </c>
      <c r="I64" s="2">
        <v>33.950000000000003</v>
      </c>
      <c r="J64" s="2">
        <v>2430</v>
      </c>
      <c r="K64" s="2">
        <v>2521.23</v>
      </c>
      <c r="L64" s="2">
        <v>22317.85</v>
      </c>
    </row>
    <row r="65" spans="1:12">
      <c r="A65" s="2" t="s">
        <v>130</v>
      </c>
      <c r="B65" s="11" t="s">
        <v>1221</v>
      </c>
      <c r="C65" s="2">
        <v>977214.58</v>
      </c>
      <c r="D65" s="2">
        <v>664027.56999999995</v>
      </c>
      <c r="E65" s="2">
        <v>313187.01</v>
      </c>
      <c r="F65" s="2">
        <v>175920.46</v>
      </c>
      <c r="G65" s="2">
        <v>137266.54999999999</v>
      </c>
      <c r="H65" s="22">
        <v>32.049999999999997</v>
      </c>
      <c r="I65" s="2">
        <v>14.05</v>
      </c>
      <c r="J65" s="2">
        <v>1572</v>
      </c>
      <c r="K65" s="2">
        <v>1165.04</v>
      </c>
      <c r="L65" s="2">
        <v>62722.82</v>
      </c>
    </row>
    <row r="66" spans="1:12">
      <c r="A66" s="2" t="s">
        <v>95</v>
      </c>
      <c r="B66" s="11" t="s">
        <v>1221</v>
      </c>
      <c r="C66" s="2">
        <v>1351686.27</v>
      </c>
      <c r="D66" s="2">
        <v>785021.15</v>
      </c>
      <c r="E66" s="2">
        <v>566665.12</v>
      </c>
      <c r="F66" s="2">
        <v>100045.33</v>
      </c>
      <c r="G66" s="2">
        <v>466619.79</v>
      </c>
      <c r="H66" s="22">
        <v>41.92</v>
      </c>
      <c r="I66" s="2">
        <v>34.520000000000003</v>
      </c>
      <c r="J66" s="2">
        <v>914</v>
      </c>
      <c r="K66" s="2">
        <v>2253.7199999999998</v>
      </c>
      <c r="L66" s="2">
        <v>4068.17</v>
      </c>
    </row>
    <row r="67" spans="1:12">
      <c r="A67" s="2" t="s">
        <v>59</v>
      </c>
      <c r="B67" s="11" t="s">
        <v>1221</v>
      </c>
      <c r="C67" s="2">
        <v>1428326.07</v>
      </c>
      <c r="D67" s="2">
        <v>975447.25</v>
      </c>
      <c r="E67" s="2">
        <v>452878.82</v>
      </c>
      <c r="F67" s="2">
        <v>110563.84</v>
      </c>
      <c r="G67" s="2">
        <v>342314.98</v>
      </c>
      <c r="H67" s="22">
        <v>31.71</v>
      </c>
      <c r="I67" s="2">
        <v>23.97</v>
      </c>
      <c r="J67" s="2">
        <v>1920</v>
      </c>
      <c r="K67" s="2">
        <v>1720.35</v>
      </c>
      <c r="L67" s="2">
        <v>73665.570000000007</v>
      </c>
    </row>
    <row r="68" spans="1:12">
      <c r="A68" s="2" t="s">
        <v>120</v>
      </c>
      <c r="B68" s="11" t="s">
        <v>1221</v>
      </c>
      <c r="C68" s="2">
        <v>1857633.28</v>
      </c>
      <c r="D68" s="2">
        <v>911647.07</v>
      </c>
      <c r="E68" s="2">
        <v>945986.21</v>
      </c>
      <c r="F68" s="2">
        <v>67038.960000000006</v>
      </c>
      <c r="G68" s="2">
        <v>878947.25</v>
      </c>
      <c r="H68" s="22">
        <v>50.92</v>
      </c>
      <c r="I68" s="2">
        <v>47.32</v>
      </c>
      <c r="J68" s="2">
        <v>2261</v>
      </c>
      <c r="K68" s="2">
        <v>1007.56</v>
      </c>
      <c r="L68" s="2">
        <v>28000.74</v>
      </c>
    </row>
    <row r="69" spans="1:12">
      <c r="A69" s="2" t="s">
        <v>190</v>
      </c>
      <c r="B69" s="11" t="s">
        <v>1221</v>
      </c>
      <c r="C69" s="2">
        <v>711987.57</v>
      </c>
      <c r="D69" s="2">
        <v>331327.68</v>
      </c>
      <c r="E69" s="2">
        <v>380659.89</v>
      </c>
      <c r="F69" s="2">
        <v>130378.78</v>
      </c>
      <c r="G69" s="2">
        <v>250281.11</v>
      </c>
      <c r="H69" s="22">
        <v>53.46</v>
      </c>
      <c r="I69" s="2">
        <v>35.15</v>
      </c>
      <c r="J69" s="2">
        <v>725</v>
      </c>
      <c r="K69" s="2">
        <v>2978.19</v>
      </c>
      <c r="L69" s="2">
        <v>19871.669999999998</v>
      </c>
    </row>
    <row r="70" spans="1:12">
      <c r="A70" s="2" t="s">
        <v>167</v>
      </c>
      <c r="B70" s="11" t="s">
        <v>1221</v>
      </c>
      <c r="C70" s="2">
        <v>1603022.03</v>
      </c>
      <c r="D70" s="2">
        <v>918408.13</v>
      </c>
      <c r="E70" s="2">
        <v>684613.9</v>
      </c>
      <c r="F70" s="2">
        <v>155280.13</v>
      </c>
      <c r="G70" s="2">
        <v>529333.77</v>
      </c>
      <c r="H70" s="22">
        <v>42.71</v>
      </c>
      <c r="I70" s="2">
        <v>33.020000000000003</v>
      </c>
      <c r="J70" s="2">
        <v>1562</v>
      </c>
      <c r="K70" s="2">
        <v>2595.64</v>
      </c>
      <c r="L70" s="2">
        <v>112437.4</v>
      </c>
    </row>
    <row r="71" spans="1:12">
      <c r="A71" s="2" t="s">
        <v>73</v>
      </c>
      <c r="B71" s="11" t="s">
        <v>1221</v>
      </c>
      <c r="C71" s="2">
        <v>366591.82</v>
      </c>
      <c r="D71" s="2">
        <v>188351.57</v>
      </c>
      <c r="E71" s="2">
        <v>178240.25</v>
      </c>
      <c r="F71" s="2">
        <v>70813.62</v>
      </c>
      <c r="G71" s="2">
        <v>107426.63</v>
      </c>
      <c r="H71" s="22">
        <v>48.62</v>
      </c>
      <c r="I71" s="2">
        <v>29.3</v>
      </c>
      <c r="J71" s="2">
        <v>1833</v>
      </c>
      <c r="K71" s="2">
        <v>585.4</v>
      </c>
      <c r="L71" s="2">
        <v>24997.040000000001</v>
      </c>
    </row>
    <row r="72" spans="1:12">
      <c r="A72" s="3" t="s">
        <v>107</v>
      </c>
      <c r="B72" s="12" t="s">
        <v>1222</v>
      </c>
      <c r="C72" s="3">
        <v>1586090</v>
      </c>
      <c r="D72" s="3">
        <v>973951.16</v>
      </c>
      <c r="E72" s="3">
        <v>612138.84</v>
      </c>
      <c r="F72" s="3">
        <v>126023.53</v>
      </c>
      <c r="G72" s="2">
        <v>486115.31</v>
      </c>
      <c r="H72" s="22">
        <v>38.590000000000003</v>
      </c>
      <c r="I72" s="3">
        <v>30.65</v>
      </c>
      <c r="J72" s="3">
        <v>847</v>
      </c>
      <c r="K72" s="3">
        <v>1315.99</v>
      </c>
      <c r="L72" s="3">
        <v>70719.350000000006</v>
      </c>
    </row>
    <row r="73" spans="1:12">
      <c r="A73" s="3" t="s">
        <v>84</v>
      </c>
      <c r="B73" s="12" t="s">
        <v>1222</v>
      </c>
      <c r="C73" s="3">
        <v>1868789.66</v>
      </c>
      <c r="D73" s="3">
        <v>1127950.04</v>
      </c>
      <c r="E73" s="3">
        <v>740839.62</v>
      </c>
      <c r="F73" s="3">
        <v>114387.48</v>
      </c>
      <c r="G73" s="2">
        <v>626452.14</v>
      </c>
      <c r="H73" s="22">
        <v>39.64</v>
      </c>
      <c r="I73" s="3">
        <v>33.520000000000003</v>
      </c>
      <c r="J73" s="3">
        <v>2788</v>
      </c>
      <c r="K73" s="3">
        <v>1892.77</v>
      </c>
      <c r="L73" s="3">
        <v>120795.63</v>
      </c>
    </row>
    <row r="74" spans="1:12">
      <c r="A74" s="3" t="s">
        <v>66</v>
      </c>
      <c r="B74" s="12" t="s">
        <v>1222</v>
      </c>
      <c r="C74" s="3">
        <v>1405289.35</v>
      </c>
      <c r="D74" s="3">
        <v>892136.37</v>
      </c>
      <c r="E74" s="3">
        <v>513152.98</v>
      </c>
      <c r="F74" s="3">
        <v>151024.5</v>
      </c>
      <c r="G74" s="2">
        <v>362128.48</v>
      </c>
      <c r="H74" s="22">
        <v>36.520000000000003</v>
      </c>
      <c r="I74" s="3">
        <v>25.77</v>
      </c>
      <c r="J74" s="3">
        <v>2193</v>
      </c>
      <c r="K74" s="3">
        <v>665.83</v>
      </c>
      <c r="L74" s="3">
        <v>67012.679999999993</v>
      </c>
    </row>
    <row r="75" spans="1:12">
      <c r="A75" s="3" t="s">
        <v>130</v>
      </c>
      <c r="B75" s="12" t="s">
        <v>1222</v>
      </c>
      <c r="C75" s="3">
        <v>659619.05000000005</v>
      </c>
      <c r="D75" s="3">
        <v>393162.11</v>
      </c>
      <c r="E75" s="3">
        <v>266456.94</v>
      </c>
      <c r="F75" s="3">
        <v>108388.46</v>
      </c>
      <c r="G75" s="2">
        <v>158068.48000000001</v>
      </c>
      <c r="H75" s="22">
        <v>40.4</v>
      </c>
      <c r="I75" s="3">
        <v>23.96</v>
      </c>
      <c r="J75" s="3">
        <v>2965</v>
      </c>
      <c r="K75" s="3">
        <v>2697.09</v>
      </c>
      <c r="L75" s="3">
        <v>38749.370000000003</v>
      </c>
    </row>
    <row r="76" spans="1:12">
      <c r="A76" s="3" t="s">
        <v>95</v>
      </c>
      <c r="B76" s="12" t="s">
        <v>1222</v>
      </c>
      <c r="C76" s="3">
        <v>524000.84</v>
      </c>
      <c r="D76" s="3">
        <v>301285.76000000001</v>
      </c>
      <c r="E76" s="3">
        <v>222715.08</v>
      </c>
      <c r="F76" s="3">
        <v>191550.67</v>
      </c>
      <c r="G76" s="2">
        <v>31164.41</v>
      </c>
      <c r="H76" s="22">
        <v>42.5</v>
      </c>
      <c r="I76" s="3">
        <v>5.95</v>
      </c>
      <c r="J76" s="3">
        <v>2768</v>
      </c>
      <c r="K76" s="3">
        <v>2944.75</v>
      </c>
      <c r="L76" s="3">
        <v>12626.31</v>
      </c>
    </row>
    <row r="77" spans="1:12">
      <c r="A77" s="3" t="s">
        <v>59</v>
      </c>
      <c r="B77" s="12" t="s">
        <v>1222</v>
      </c>
      <c r="C77" s="3">
        <v>724730.23</v>
      </c>
      <c r="D77" s="3">
        <v>337533.96</v>
      </c>
      <c r="E77" s="3">
        <v>387196.27</v>
      </c>
      <c r="F77" s="3">
        <v>178204.93</v>
      </c>
      <c r="G77" s="2">
        <v>208991.34</v>
      </c>
      <c r="H77" s="22">
        <v>53.43</v>
      </c>
      <c r="I77" s="3">
        <v>28.84</v>
      </c>
      <c r="J77" s="3">
        <v>1151</v>
      </c>
      <c r="K77" s="3">
        <v>2971.83</v>
      </c>
      <c r="L77" s="3">
        <v>30126.77</v>
      </c>
    </row>
    <row r="78" spans="1:12">
      <c r="A78" s="3" t="s">
        <v>120</v>
      </c>
      <c r="B78" s="12" t="s">
        <v>1222</v>
      </c>
      <c r="C78" s="3">
        <v>1814702.12</v>
      </c>
      <c r="D78" s="3">
        <v>1094913.3899999999</v>
      </c>
      <c r="E78" s="3">
        <v>719788.73</v>
      </c>
      <c r="F78" s="3">
        <v>171340.75</v>
      </c>
      <c r="G78" s="2">
        <v>548447.98</v>
      </c>
      <c r="H78" s="22">
        <v>39.659999999999997</v>
      </c>
      <c r="I78" s="3">
        <v>30.22</v>
      </c>
      <c r="J78" s="3">
        <v>2353</v>
      </c>
      <c r="K78" s="3">
        <v>3007.42</v>
      </c>
      <c r="L78" s="3">
        <v>103444.86</v>
      </c>
    </row>
    <row r="79" spans="1:12">
      <c r="A79" s="3" t="s">
        <v>190</v>
      </c>
      <c r="B79" s="12" t="s">
        <v>1222</v>
      </c>
      <c r="C79" s="3">
        <v>1535702.84</v>
      </c>
      <c r="D79" s="3">
        <v>701393.82</v>
      </c>
      <c r="E79" s="3">
        <v>834309.02</v>
      </c>
      <c r="F79" s="3">
        <v>181528.29</v>
      </c>
      <c r="G79" s="2">
        <v>652780.73</v>
      </c>
      <c r="H79" s="22">
        <v>54.33</v>
      </c>
      <c r="I79" s="3">
        <v>42.51</v>
      </c>
      <c r="J79" s="3">
        <v>1597</v>
      </c>
      <c r="K79" s="3">
        <v>1517.83</v>
      </c>
      <c r="L79" s="3">
        <v>52600.67</v>
      </c>
    </row>
    <row r="80" spans="1:12">
      <c r="A80" s="3" t="s">
        <v>167</v>
      </c>
      <c r="B80" s="12" t="s">
        <v>1222</v>
      </c>
      <c r="C80" s="3">
        <v>1676434.36</v>
      </c>
      <c r="D80" s="3">
        <v>1099908.95</v>
      </c>
      <c r="E80" s="3">
        <v>576525.41</v>
      </c>
      <c r="F80" s="3">
        <v>148741.97</v>
      </c>
      <c r="G80" s="2">
        <v>427783.44</v>
      </c>
      <c r="H80" s="22">
        <v>34.39</v>
      </c>
      <c r="I80" s="3">
        <v>25.52</v>
      </c>
      <c r="J80" s="3">
        <v>2273</v>
      </c>
      <c r="K80" s="3">
        <v>512.38</v>
      </c>
      <c r="L80" s="3">
        <v>56444.95</v>
      </c>
    </row>
    <row r="81" spans="1:12">
      <c r="A81" s="3" t="s">
        <v>73</v>
      </c>
      <c r="B81" s="12" t="s">
        <v>1222</v>
      </c>
      <c r="C81" s="3">
        <v>493293.23</v>
      </c>
      <c r="D81" s="3">
        <v>318111.55</v>
      </c>
      <c r="E81" s="3">
        <v>175181.68</v>
      </c>
      <c r="F81" s="3">
        <v>78439.100000000006</v>
      </c>
      <c r="G81" s="2">
        <v>96742.58</v>
      </c>
      <c r="H81" s="22">
        <v>35.51</v>
      </c>
      <c r="I81" s="3">
        <v>19.61</v>
      </c>
      <c r="J81" s="3">
        <v>2879</v>
      </c>
      <c r="K81" s="3">
        <v>793.23</v>
      </c>
      <c r="L81" s="3">
        <v>11781.68</v>
      </c>
    </row>
    <row r="82" spans="1:12">
      <c r="A82" s="2" t="s">
        <v>107</v>
      </c>
      <c r="B82" s="11" t="s">
        <v>1223</v>
      </c>
      <c r="C82" s="2">
        <v>1907482.82</v>
      </c>
      <c r="D82" s="2">
        <v>914822.7</v>
      </c>
      <c r="E82" s="2">
        <v>992660.12</v>
      </c>
      <c r="F82" s="2">
        <v>83991.59</v>
      </c>
      <c r="G82" s="2">
        <v>908668.53</v>
      </c>
      <c r="H82" s="22">
        <v>52.04</v>
      </c>
      <c r="I82" s="2">
        <v>47.64</v>
      </c>
      <c r="J82" s="2">
        <v>796</v>
      </c>
      <c r="K82" s="2">
        <v>2626.65</v>
      </c>
      <c r="L82" s="2">
        <v>116804.33</v>
      </c>
    </row>
    <row r="83" spans="1:12">
      <c r="A83" s="2" t="s">
        <v>84</v>
      </c>
      <c r="B83" s="11" t="s">
        <v>1223</v>
      </c>
      <c r="C83" s="4">
        <f>AVERAGEIFS(C:C, A:A, A2, B:B, B2)</f>
        <v>233070.01</v>
      </c>
      <c r="D83" s="2">
        <v>909945.11</v>
      </c>
      <c r="E83" s="2">
        <v>880649.52</v>
      </c>
      <c r="F83" s="2">
        <v>79382.97</v>
      </c>
      <c r="G83" s="2">
        <v>801266.55</v>
      </c>
      <c r="H83" s="22">
        <v>49.18</v>
      </c>
      <c r="I83" s="2">
        <v>44.75</v>
      </c>
      <c r="J83" s="2">
        <v>992</v>
      </c>
      <c r="K83" s="2">
        <v>305.06</v>
      </c>
      <c r="L83" s="2">
        <v>3436.05</v>
      </c>
    </row>
    <row r="84" spans="1:12">
      <c r="A84" s="2" t="s">
        <v>66</v>
      </c>
      <c r="B84" s="11" t="s">
        <v>1223</v>
      </c>
      <c r="C84" s="2">
        <v>785680.57</v>
      </c>
      <c r="D84" s="2">
        <v>372737.45</v>
      </c>
      <c r="E84" s="2">
        <v>412943.12</v>
      </c>
      <c r="F84" s="2">
        <v>105686.76</v>
      </c>
      <c r="G84" s="2">
        <v>307256.36</v>
      </c>
      <c r="H84" s="22">
        <v>52.56</v>
      </c>
      <c r="I84" s="2">
        <v>39.11</v>
      </c>
      <c r="J84" s="2">
        <v>1461</v>
      </c>
      <c r="K84" s="2">
        <v>3358.83</v>
      </c>
      <c r="L84" s="2">
        <v>4375.1499999999996</v>
      </c>
    </row>
    <row r="85" spans="1:12">
      <c r="A85" s="2" t="s">
        <v>130</v>
      </c>
      <c r="B85" s="11" t="s">
        <v>1223</v>
      </c>
      <c r="C85" s="2">
        <v>1259703.72</v>
      </c>
      <c r="D85" s="2">
        <v>628253.82999999996</v>
      </c>
      <c r="E85" s="2">
        <v>631449.89</v>
      </c>
      <c r="F85" s="2">
        <v>87359.12</v>
      </c>
      <c r="G85" s="2">
        <v>544090.77</v>
      </c>
      <c r="H85" s="22">
        <v>50.13</v>
      </c>
      <c r="I85" s="2">
        <v>43.19</v>
      </c>
      <c r="J85" s="2">
        <v>936</v>
      </c>
      <c r="K85" s="2">
        <v>1302.46</v>
      </c>
      <c r="L85" s="2">
        <v>1066.01</v>
      </c>
    </row>
    <row r="86" spans="1:12">
      <c r="A86" s="2" t="s">
        <v>95</v>
      </c>
      <c r="B86" s="11" t="s">
        <v>1223</v>
      </c>
      <c r="C86" s="2">
        <v>953814.57</v>
      </c>
      <c r="D86" s="2">
        <v>562204.63</v>
      </c>
      <c r="E86" s="2">
        <v>391609.94</v>
      </c>
      <c r="F86" s="2">
        <v>62623.49</v>
      </c>
      <c r="G86" s="2">
        <v>328986.45</v>
      </c>
      <c r="H86" s="22">
        <v>41.06</v>
      </c>
      <c r="I86" s="2">
        <v>34.49</v>
      </c>
      <c r="J86" s="2">
        <v>2371</v>
      </c>
      <c r="K86" s="2">
        <v>3425.73</v>
      </c>
      <c r="L86" s="2">
        <v>47226.86</v>
      </c>
    </row>
    <row r="87" spans="1:12">
      <c r="A87" s="2" t="s">
        <v>59</v>
      </c>
      <c r="B87" s="11" t="s">
        <v>1223</v>
      </c>
      <c r="C87" s="2">
        <v>804579.26</v>
      </c>
      <c r="D87" s="2">
        <v>478464.1</v>
      </c>
      <c r="E87" s="2">
        <v>326115.15999999997</v>
      </c>
      <c r="F87" s="2">
        <v>141479.29</v>
      </c>
      <c r="G87" s="2">
        <v>184635.87</v>
      </c>
      <c r="H87" s="22">
        <v>40.53</v>
      </c>
      <c r="I87" s="2">
        <v>22.95</v>
      </c>
      <c r="J87" s="2">
        <v>1536</v>
      </c>
      <c r="K87" s="2">
        <v>1855.67</v>
      </c>
      <c r="L87" s="2">
        <v>42858.67</v>
      </c>
    </row>
    <row r="88" spans="1:12">
      <c r="A88" s="2" t="s">
        <v>120</v>
      </c>
      <c r="B88" s="11" t="s">
        <v>1223</v>
      </c>
      <c r="C88" s="2">
        <v>1464076.8</v>
      </c>
      <c r="D88" s="2">
        <v>952594.35</v>
      </c>
      <c r="E88" s="2">
        <v>511482.45</v>
      </c>
      <c r="F88" s="2">
        <v>100948.86</v>
      </c>
      <c r="G88" s="2">
        <v>410533.59</v>
      </c>
      <c r="H88" s="22">
        <v>34.94</v>
      </c>
      <c r="I88" s="2">
        <v>28.04</v>
      </c>
      <c r="J88" s="2">
        <v>512</v>
      </c>
      <c r="K88" s="2">
        <v>673.01</v>
      </c>
      <c r="L88" s="2">
        <v>15370.72</v>
      </c>
    </row>
    <row r="89" spans="1:12">
      <c r="A89" s="2" t="s">
        <v>190</v>
      </c>
      <c r="B89" s="11" t="s">
        <v>1223</v>
      </c>
      <c r="C89" s="2">
        <v>1985501.94</v>
      </c>
      <c r="D89" s="2">
        <v>1097947.6299999999</v>
      </c>
      <c r="E89" s="2">
        <v>887554.31</v>
      </c>
      <c r="F89" s="2">
        <v>39596.370000000003</v>
      </c>
      <c r="G89" s="2">
        <v>847957.94</v>
      </c>
      <c r="H89" s="22">
        <v>44.7</v>
      </c>
      <c r="I89" s="2">
        <v>42.71</v>
      </c>
      <c r="J89" s="2">
        <v>1200</v>
      </c>
      <c r="K89" s="2">
        <v>1092.3599999999999</v>
      </c>
      <c r="L89" s="2">
        <v>102941.58</v>
      </c>
    </row>
    <row r="90" spans="1:12">
      <c r="A90" s="2" t="s">
        <v>167</v>
      </c>
      <c r="B90" s="11" t="s">
        <v>1223</v>
      </c>
      <c r="C90" s="2">
        <v>1512616.87</v>
      </c>
      <c r="D90" s="2">
        <v>887803.14</v>
      </c>
      <c r="E90" s="2">
        <v>624813.73</v>
      </c>
      <c r="F90" s="2">
        <v>85550.62</v>
      </c>
      <c r="G90" s="2">
        <v>539263.11</v>
      </c>
      <c r="H90" s="22">
        <v>41.31</v>
      </c>
      <c r="I90" s="2">
        <v>35.65</v>
      </c>
      <c r="J90" s="2">
        <v>312</v>
      </c>
      <c r="K90" s="2">
        <v>2738.32</v>
      </c>
      <c r="L90" s="2">
        <v>77612.11</v>
      </c>
    </row>
    <row r="91" spans="1:12">
      <c r="A91" s="2" t="s">
        <v>73</v>
      </c>
      <c r="B91" s="11" t="s">
        <v>1223</v>
      </c>
      <c r="C91" s="2">
        <v>1641980.76</v>
      </c>
      <c r="D91" s="2">
        <v>1040970.35</v>
      </c>
      <c r="E91" s="2">
        <v>601010.41</v>
      </c>
      <c r="F91" s="2">
        <v>186688.97</v>
      </c>
      <c r="G91" s="2">
        <v>414321.44</v>
      </c>
      <c r="H91" s="22">
        <v>36.6</v>
      </c>
      <c r="I91" s="2">
        <v>25.23</v>
      </c>
      <c r="J91" s="2">
        <v>2671</v>
      </c>
      <c r="K91" s="2">
        <v>720.12</v>
      </c>
      <c r="L91" s="2">
        <v>87421.72</v>
      </c>
    </row>
    <row r="92" spans="1:12">
      <c r="A92" s="3" t="s">
        <v>107</v>
      </c>
      <c r="B92" s="12" t="s">
        <v>1224</v>
      </c>
      <c r="C92" s="3">
        <v>1784237.42</v>
      </c>
      <c r="D92" s="3">
        <v>987593.32</v>
      </c>
      <c r="E92" s="3">
        <v>796644.1</v>
      </c>
      <c r="F92" s="3">
        <v>99912.8</v>
      </c>
      <c r="G92" s="2">
        <v>696731.3</v>
      </c>
      <c r="H92" s="22">
        <v>44.65</v>
      </c>
      <c r="I92" s="3">
        <v>39.049999999999997</v>
      </c>
      <c r="J92" s="4">
        <v>1463.3333333333333</v>
      </c>
      <c r="K92" s="3">
        <v>2685.95</v>
      </c>
      <c r="L92" s="3">
        <v>117288.42</v>
      </c>
    </row>
    <row r="93" spans="1:12">
      <c r="A93" s="3" t="s">
        <v>84</v>
      </c>
      <c r="B93" s="12" t="s">
        <v>1224</v>
      </c>
      <c r="C93" s="3">
        <v>1325829.3400000001</v>
      </c>
      <c r="D93" s="3">
        <v>635710.55000000005</v>
      </c>
      <c r="E93" s="3">
        <v>690118.79</v>
      </c>
      <c r="F93" s="3">
        <v>174171.86</v>
      </c>
      <c r="G93" s="2">
        <v>515946.93</v>
      </c>
      <c r="H93" s="22">
        <v>52.05</v>
      </c>
      <c r="I93" s="3">
        <v>38.92</v>
      </c>
      <c r="J93" s="3">
        <v>2720</v>
      </c>
      <c r="K93" s="3">
        <v>3496.76</v>
      </c>
      <c r="L93" s="3">
        <v>43915.83</v>
      </c>
    </row>
    <row r="94" spans="1:12">
      <c r="A94" s="3" t="s">
        <v>66</v>
      </c>
      <c r="B94" s="12" t="s">
        <v>1224</v>
      </c>
      <c r="C94" s="3">
        <v>395740.34</v>
      </c>
      <c r="D94" s="3">
        <v>258622.91</v>
      </c>
      <c r="E94" s="3">
        <v>137117.43</v>
      </c>
      <c r="F94" s="3">
        <v>161128.37</v>
      </c>
      <c r="G94" s="2">
        <v>24010.94</v>
      </c>
      <c r="H94" s="22">
        <v>34.65</v>
      </c>
      <c r="I94" s="3">
        <v>-6.07</v>
      </c>
      <c r="J94" s="4">
        <v>1786.4411764705883</v>
      </c>
      <c r="K94" s="3">
        <v>1347.71</v>
      </c>
      <c r="L94" s="3">
        <v>20419.86</v>
      </c>
    </row>
    <row r="95" spans="1:12">
      <c r="A95" s="3" t="s">
        <v>130</v>
      </c>
      <c r="B95" s="12" t="s">
        <v>1224</v>
      </c>
      <c r="C95" s="3">
        <v>215257.1</v>
      </c>
      <c r="D95" s="3">
        <v>100522.48</v>
      </c>
      <c r="E95" s="3">
        <v>114734.62</v>
      </c>
      <c r="F95" s="3">
        <v>99912.29</v>
      </c>
      <c r="G95" s="2">
        <v>14822.33</v>
      </c>
      <c r="H95" s="22">
        <v>53.3</v>
      </c>
      <c r="I95" s="3">
        <v>6.89</v>
      </c>
      <c r="J95" s="3">
        <v>2351</v>
      </c>
      <c r="K95" s="3">
        <v>632.5</v>
      </c>
      <c r="L95" s="3">
        <v>7679.38</v>
      </c>
    </row>
    <row r="96" spans="1:12">
      <c r="A96" s="3" t="s">
        <v>95</v>
      </c>
      <c r="B96" s="12" t="s">
        <v>1224</v>
      </c>
      <c r="C96" s="3">
        <v>1752915.91</v>
      </c>
      <c r="D96" s="3">
        <v>1221248.68</v>
      </c>
      <c r="E96" s="3">
        <v>531667.23</v>
      </c>
      <c r="F96" s="3">
        <v>116281.93</v>
      </c>
      <c r="G96" s="2">
        <v>415385.3</v>
      </c>
      <c r="H96" s="22">
        <v>30.33</v>
      </c>
      <c r="I96" s="3">
        <v>23.7</v>
      </c>
      <c r="J96" s="3">
        <v>2101</v>
      </c>
      <c r="K96" s="3">
        <v>2765.06</v>
      </c>
      <c r="L96" s="3">
        <v>92459.61</v>
      </c>
    </row>
    <row r="97" spans="1:12">
      <c r="A97" s="3" t="s">
        <v>59</v>
      </c>
      <c r="B97" s="12" t="s">
        <v>1224</v>
      </c>
      <c r="C97" s="3">
        <v>1154299.21</v>
      </c>
      <c r="D97" s="3">
        <v>677708.89</v>
      </c>
      <c r="E97" s="3">
        <v>476590.32</v>
      </c>
      <c r="F97" s="3">
        <v>107861.21</v>
      </c>
      <c r="G97" s="2">
        <v>368729.11</v>
      </c>
      <c r="H97" s="22">
        <v>41.29</v>
      </c>
      <c r="I97" s="3">
        <v>31.94</v>
      </c>
      <c r="J97" s="3">
        <v>2523</v>
      </c>
      <c r="K97" s="3">
        <v>722.25</v>
      </c>
      <c r="L97" s="3">
        <v>72891.53</v>
      </c>
    </row>
    <row r="98" spans="1:12">
      <c r="A98" s="3" t="s">
        <v>120</v>
      </c>
      <c r="B98" s="12" t="s">
        <v>1224</v>
      </c>
      <c r="C98" s="3">
        <v>231282.92</v>
      </c>
      <c r="D98" s="3">
        <v>124211.07</v>
      </c>
      <c r="E98" s="3">
        <v>107071.85</v>
      </c>
      <c r="F98" s="3">
        <v>147478.62</v>
      </c>
      <c r="G98" s="2">
        <v>40406.769999999997</v>
      </c>
      <c r="H98" s="22">
        <v>46.29</v>
      </c>
      <c r="I98" s="3">
        <v>-17.47</v>
      </c>
      <c r="J98" s="3">
        <v>769</v>
      </c>
      <c r="K98" s="3">
        <v>2914.52</v>
      </c>
      <c r="L98" s="3">
        <v>16462.28</v>
      </c>
    </row>
    <row r="99" spans="1:12">
      <c r="A99" s="3" t="s">
        <v>190</v>
      </c>
      <c r="B99" s="12" t="s">
        <v>1224</v>
      </c>
      <c r="C99" s="3">
        <v>1266557</v>
      </c>
      <c r="D99" s="3">
        <v>858215.55</v>
      </c>
      <c r="E99" s="3">
        <v>408341.45</v>
      </c>
      <c r="F99" s="3">
        <v>41135.040000000001</v>
      </c>
      <c r="G99" s="2">
        <v>367206.41</v>
      </c>
      <c r="H99" s="22">
        <v>32.24</v>
      </c>
      <c r="I99" s="3">
        <v>28.99</v>
      </c>
      <c r="J99" s="3">
        <v>1448</v>
      </c>
      <c r="K99" s="3">
        <v>666.31</v>
      </c>
      <c r="L99" s="3">
        <v>17202.810000000001</v>
      </c>
    </row>
    <row r="100" spans="1:12">
      <c r="A100" s="3" t="s">
        <v>167</v>
      </c>
      <c r="B100" s="12" t="s">
        <v>1224</v>
      </c>
      <c r="C100" s="3">
        <v>530731.31999999995</v>
      </c>
      <c r="D100" s="3">
        <v>297661.32</v>
      </c>
      <c r="E100" s="3">
        <v>233070</v>
      </c>
      <c r="F100" s="3">
        <v>138986.79999999999</v>
      </c>
      <c r="G100" s="2">
        <v>94083.199999999997</v>
      </c>
      <c r="H100" s="22">
        <v>43.91</v>
      </c>
      <c r="I100" s="3">
        <v>17.73</v>
      </c>
      <c r="J100" s="3">
        <v>212</v>
      </c>
      <c r="K100" s="3">
        <v>1582.12</v>
      </c>
      <c r="L100" s="3">
        <v>26676.52</v>
      </c>
    </row>
    <row r="101" spans="1:12">
      <c r="A101" s="3" t="s">
        <v>73</v>
      </c>
      <c r="B101" s="12" t="s">
        <v>1224</v>
      </c>
      <c r="C101" s="3">
        <v>1697695.17</v>
      </c>
      <c r="D101" s="3">
        <v>981545.05</v>
      </c>
      <c r="E101" s="3">
        <v>716150.12</v>
      </c>
      <c r="F101" s="3">
        <v>113235.92</v>
      </c>
      <c r="G101" s="2">
        <v>602914.19999999995</v>
      </c>
      <c r="H101" s="22">
        <v>42.18</v>
      </c>
      <c r="I101" s="3">
        <v>35.51</v>
      </c>
      <c r="J101" s="3">
        <v>1789</v>
      </c>
      <c r="K101" s="3">
        <v>1824.61</v>
      </c>
      <c r="L101" s="3">
        <v>76471.94</v>
      </c>
    </row>
    <row r="102" spans="1:12">
      <c r="A102" s="2" t="s">
        <v>107</v>
      </c>
      <c r="B102" s="11" t="s">
        <v>1225</v>
      </c>
      <c r="C102" s="2">
        <v>1346325.32</v>
      </c>
      <c r="D102" s="2">
        <v>854357.72</v>
      </c>
      <c r="E102" s="2">
        <v>491967.6</v>
      </c>
      <c r="F102" s="2">
        <v>55832.7</v>
      </c>
      <c r="G102" s="2">
        <v>436134.9</v>
      </c>
      <c r="H102" s="22">
        <v>36.54</v>
      </c>
      <c r="I102" s="2">
        <v>32.39</v>
      </c>
      <c r="J102" s="2">
        <v>969</v>
      </c>
      <c r="K102" s="2">
        <v>641.66999999999996</v>
      </c>
      <c r="L102" s="2">
        <v>19898.310000000001</v>
      </c>
    </row>
    <row r="103" spans="1:12">
      <c r="A103" s="2" t="s">
        <v>84</v>
      </c>
      <c r="B103" s="11" t="s">
        <v>1225</v>
      </c>
      <c r="C103" s="2">
        <v>800826.06</v>
      </c>
      <c r="D103" s="2">
        <v>472570.56</v>
      </c>
      <c r="E103" s="2">
        <v>328255.5</v>
      </c>
      <c r="F103" s="2">
        <v>138375.6</v>
      </c>
      <c r="G103" s="2">
        <v>189879.9</v>
      </c>
      <c r="H103" s="22">
        <v>40.99</v>
      </c>
      <c r="I103" s="2">
        <v>23.71</v>
      </c>
      <c r="J103" s="2">
        <v>246</v>
      </c>
      <c r="K103" s="2">
        <v>2349.98</v>
      </c>
      <c r="L103" s="2">
        <v>44206.69</v>
      </c>
    </row>
    <row r="104" spans="1:12">
      <c r="A104" s="2" t="s">
        <v>66</v>
      </c>
      <c r="B104" s="11" t="s">
        <v>1225</v>
      </c>
      <c r="C104" s="4">
        <f>AVERAGEIFS(C:C, A:A, A2, B:B, B2)</f>
        <v>233070.01</v>
      </c>
      <c r="D104" s="2">
        <v>156701.85</v>
      </c>
      <c r="E104" s="2">
        <v>153966.15</v>
      </c>
      <c r="F104" s="2">
        <v>53615.85</v>
      </c>
      <c r="G104" s="2">
        <v>100350.3</v>
      </c>
      <c r="H104" s="22">
        <v>49.56</v>
      </c>
      <c r="I104" s="2">
        <v>32.299999999999997</v>
      </c>
      <c r="J104" s="2">
        <v>2578</v>
      </c>
      <c r="K104" s="2">
        <v>3190.42</v>
      </c>
      <c r="L104" s="2">
        <v>15810.09</v>
      </c>
    </row>
    <row r="105" spans="1:12">
      <c r="A105" s="2" t="s">
        <v>130</v>
      </c>
      <c r="B105" s="11" t="s">
        <v>1225</v>
      </c>
      <c r="C105" s="2">
        <v>594949.39</v>
      </c>
      <c r="D105" s="2">
        <v>309864.07</v>
      </c>
      <c r="E105" s="2">
        <v>285085.32</v>
      </c>
      <c r="F105" s="2">
        <v>62823.519999999997</v>
      </c>
      <c r="G105" s="2">
        <v>222261.8</v>
      </c>
      <c r="H105" s="22">
        <v>47.92</v>
      </c>
      <c r="I105" s="2">
        <v>37.36</v>
      </c>
      <c r="J105" s="2">
        <v>297</v>
      </c>
      <c r="K105" s="2">
        <v>2282.0700000000002</v>
      </c>
      <c r="L105" s="2">
        <v>2707.35</v>
      </c>
    </row>
    <row r="106" spans="1:12">
      <c r="A106" s="2" t="s">
        <v>95</v>
      </c>
      <c r="B106" s="11" t="s">
        <v>1225</v>
      </c>
      <c r="C106" s="2">
        <v>697567.85</v>
      </c>
      <c r="D106" s="2">
        <v>347688.57</v>
      </c>
      <c r="E106" s="2">
        <v>349879.28</v>
      </c>
      <c r="F106" s="2">
        <v>165424.21</v>
      </c>
      <c r="G106" s="2">
        <v>184455.07</v>
      </c>
      <c r="H106" s="22">
        <v>50.16</v>
      </c>
      <c r="I106" s="2">
        <v>26.44</v>
      </c>
      <c r="J106" s="2">
        <v>2143</v>
      </c>
      <c r="K106" s="2">
        <v>1892.05</v>
      </c>
      <c r="L106" s="2">
        <v>8915.4500000000007</v>
      </c>
    </row>
    <row r="107" spans="1:12">
      <c r="A107" s="2" t="s">
        <v>59</v>
      </c>
      <c r="B107" s="11" t="s">
        <v>1225</v>
      </c>
      <c r="C107" s="2">
        <v>509126.83</v>
      </c>
      <c r="D107" s="2">
        <v>262201.27</v>
      </c>
      <c r="E107" s="2">
        <v>246925.56</v>
      </c>
      <c r="F107" s="2">
        <v>112321.33</v>
      </c>
      <c r="G107" s="2">
        <v>134604.23000000001</v>
      </c>
      <c r="H107" s="22">
        <v>48.5</v>
      </c>
      <c r="I107" s="2">
        <v>26.44</v>
      </c>
      <c r="J107" s="2">
        <v>1380</v>
      </c>
      <c r="K107" s="2">
        <v>2763.2</v>
      </c>
      <c r="L107" s="2">
        <v>1927.31</v>
      </c>
    </row>
    <row r="108" spans="1:12">
      <c r="A108" s="2" t="s">
        <v>120</v>
      </c>
      <c r="B108" s="11" t="s">
        <v>1225</v>
      </c>
      <c r="C108" s="2">
        <v>1275767.55</v>
      </c>
      <c r="D108" s="2">
        <v>817636.09</v>
      </c>
      <c r="E108" s="2">
        <v>458131.46</v>
      </c>
      <c r="F108" s="2">
        <v>88147.67</v>
      </c>
      <c r="G108" s="2">
        <v>369983.79</v>
      </c>
      <c r="H108" s="22">
        <v>35.909999999999997</v>
      </c>
      <c r="I108" s="2">
        <v>29</v>
      </c>
      <c r="J108" s="2">
        <v>1447</v>
      </c>
      <c r="K108" s="2">
        <v>392.03</v>
      </c>
      <c r="L108" s="2">
        <v>83136.58</v>
      </c>
    </row>
    <row r="109" spans="1:12">
      <c r="A109" s="2" t="s">
        <v>190</v>
      </c>
      <c r="B109" s="11" t="s">
        <v>1225</v>
      </c>
      <c r="C109" s="2">
        <v>1169150.26</v>
      </c>
      <c r="D109" s="2">
        <v>537042.63</v>
      </c>
      <c r="E109" s="2">
        <v>632107.63</v>
      </c>
      <c r="F109" s="2">
        <v>141820.51999999999</v>
      </c>
      <c r="G109" s="2">
        <v>490287.11</v>
      </c>
      <c r="H109" s="22">
        <v>54.07</v>
      </c>
      <c r="I109" s="2">
        <v>41.94</v>
      </c>
      <c r="J109" s="2">
        <v>1930</v>
      </c>
      <c r="K109" s="2">
        <v>2117.7600000000002</v>
      </c>
      <c r="L109" s="2">
        <v>84310.68</v>
      </c>
    </row>
    <row r="110" spans="1:12">
      <c r="A110" s="2" t="s">
        <v>167</v>
      </c>
      <c r="B110" s="11" t="s">
        <v>1225</v>
      </c>
      <c r="C110" s="2">
        <v>764699.24</v>
      </c>
      <c r="D110" s="2">
        <v>359835.35</v>
      </c>
      <c r="E110" s="2">
        <v>404863.89</v>
      </c>
      <c r="F110" s="2">
        <v>56829.81</v>
      </c>
      <c r="G110" s="2">
        <v>348034.08</v>
      </c>
      <c r="H110" s="22">
        <v>52.94</v>
      </c>
      <c r="I110" s="2">
        <v>45.51</v>
      </c>
      <c r="J110" s="2">
        <v>2315</v>
      </c>
      <c r="K110" s="2">
        <v>2583.4</v>
      </c>
      <c r="L110" s="2">
        <v>46959.1</v>
      </c>
    </row>
    <row r="111" spans="1:12">
      <c r="A111" s="2" t="s">
        <v>73</v>
      </c>
      <c r="B111" s="11" t="s">
        <v>1225</v>
      </c>
      <c r="C111" s="4">
        <f>C197</f>
        <v>32</v>
      </c>
      <c r="D111" s="2">
        <v>614533.72</v>
      </c>
      <c r="E111" s="2">
        <v>346993.32</v>
      </c>
      <c r="F111" s="2">
        <v>167869.04</v>
      </c>
      <c r="G111" s="2">
        <v>179124.28</v>
      </c>
      <c r="H111" s="22">
        <v>36.090000000000003</v>
      </c>
      <c r="I111" s="2">
        <v>18.63</v>
      </c>
      <c r="J111" s="2">
        <v>2714</v>
      </c>
      <c r="K111" s="2">
        <v>896.34</v>
      </c>
      <c r="L111" s="2">
        <v>48513.75</v>
      </c>
    </row>
    <row r="112" spans="1:12">
      <c r="A112" s="3" t="s">
        <v>107</v>
      </c>
      <c r="B112" s="12" t="s">
        <v>1226</v>
      </c>
      <c r="C112" s="3">
        <v>1572405.47</v>
      </c>
      <c r="D112" s="3">
        <v>948153.26</v>
      </c>
      <c r="E112" s="3">
        <v>624252.21</v>
      </c>
      <c r="F112" s="3">
        <v>75366.64</v>
      </c>
      <c r="G112" s="2">
        <v>548885.56999999995</v>
      </c>
      <c r="H112" s="22">
        <v>39.700000000000003</v>
      </c>
      <c r="I112" s="3">
        <v>34.909999999999997</v>
      </c>
      <c r="J112" s="3">
        <v>2522</v>
      </c>
      <c r="K112" s="3">
        <v>2259.56</v>
      </c>
      <c r="L112" s="3">
        <v>75017.67</v>
      </c>
    </row>
    <row r="113" spans="1:12">
      <c r="A113" s="3" t="s">
        <v>84</v>
      </c>
      <c r="B113" s="12" t="s">
        <v>1226</v>
      </c>
      <c r="C113" s="3">
        <v>657951.54</v>
      </c>
      <c r="D113" s="3">
        <v>307236.40000000002</v>
      </c>
      <c r="E113" s="3">
        <v>350715.14</v>
      </c>
      <c r="F113" s="3">
        <v>81048.28</v>
      </c>
      <c r="G113" s="2">
        <v>269666.86</v>
      </c>
      <c r="H113" s="22">
        <v>53.3</v>
      </c>
      <c r="I113" s="3">
        <v>40.99</v>
      </c>
      <c r="J113" s="3">
        <v>2452</v>
      </c>
      <c r="K113" s="3">
        <v>1336.56</v>
      </c>
      <c r="L113" s="3">
        <v>322.73</v>
      </c>
    </row>
    <row r="114" spans="1:12">
      <c r="A114" s="3" t="s">
        <v>66</v>
      </c>
      <c r="B114" s="12" t="s">
        <v>1226</v>
      </c>
      <c r="C114" s="3">
        <v>200331.81</v>
      </c>
      <c r="D114" s="3">
        <v>97497.75</v>
      </c>
      <c r="E114" s="3">
        <v>102834.06</v>
      </c>
      <c r="F114" s="3">
        <v>55366.79</v>
      </c>
      <c r="G114" s="2">
        <v>47467.27</v>
      </c>
      <c r="H114" s="22">
        <v>51.33</v>
      </c>
      <c r="I114" s="3">
        <v>23.69</v>
      </c>
      <c r="J114" s="3">
        <v>2376</v>
      </c>
      <c r="K114" s="3">
        <v>1232.81</v>
      </c>
      <c r="L114" s="3">
        <v>9865.49</v>
      </c>
    </row>
    <row r="115" spans="1:12">
      <c r="A115" s="3" t="s">
        <v>130</v>
      </c>
      <c r="B115" s="12" t="s">
        <v>1226</v>
      </c>
      <c r="C115" s="3">
        <v>1269449.45</v>
      </c>
      <c r="D115" s="3">
        <v>854963.72</v>
      </c>
      <c r="E115" s="3">
        <v>414485.73</v>
      </c>
      <c r="F115" s="3">
        <v>66860.2</v>
      </c>
      <c r="G115" s="2">
        <v>347625.53</v>
      </c>
      <c r="H115" s="22">
        <v>32.65</v>
      </c>
      <c r="I115" s="3">
        <v>27.38</v>
      </c>
      <c r="J115" s="3">
        <v>2655</v>
      </c>
      <c r="K115" s="3">
        <v>2341.87</v>
      </c>
      <c r="L115" s="3">
        <v>71909.240000000005</v>
      </c>
    </row>
    <row r="116" spans="1:12">
      <c r="A116" s="3" t="s">
        <v>95</v>
      </c>
      <c r="B116" s="12" t="s">
        <v>1226</v>
      </c>
      <c r="C116" s="3">
        <v>1860811.47</v>
      </c>
      <c r="D116" s="3">
        <v>862498.96</v>
      </c>
      <c r="E116" s="3">
        <v>998312.51</v>
      </c>
      <c r="F116" s="3">
        <v>91912.82</v>
      </c>
      <c r="G116" s="2">
        <v>906399.69</v>
      </c>
      <c r="H116" s="22">
        <v>53.649309782038266</v>
      </c>
      <c r="I116" s="3">
        <v>48.71</v>
      </c>
      <c r="J116" s="3">
        <v>1058</v>
      </c>
      <c r="K116" s="3">
        <v>1690.95</v>
      </c>
      <c r="L116" s="3">
        <v>49764.74</v>
      </c>
    </row>
    <row r="117" spans="1:12">
      <c r="A117" s="3" t="s">
        <v>59</v>
      </c>
      <c r="B117" s="12" t="s">
        <v>1226</v>
      </c>
      <c r="C117" s="3">
        <v>835617.61</v>
      </c>
      <c r="D117" s="3">
        <v>471272.99</v>
      </c>
      <c r="E117" s="3">
        <v>364344.62</v>
      </c>
      <c r="F117" s="3">
        <v>58281.72</v>
      </c>
      <c r="G117" s="2">
        <v>306062.90000000002</v>
      </c>
      <c r="H117" s="22">
        <v>43.6</v>
      </c>
      <c r="I117" s="3">
        <v>36.630000000000003</v>
      </c>
      <c r="J117" s="3">
        <v>858</v>
      </c>
      <c r="K117" s="3">
        <v>2577.8000000000002</v>
      </c>
      <c r="L117" s="3">
        <v>19068.57</v>
      </c>
    </row>
    <row r="118" spans="1:12">
      <c r="A118" s="3" t="s">
        <v>120</v>
      </c>
      <c r="B118" s="12" t="s">
        <v>1226</v>
      </c>
      <c r="C118" s="3">
        <v>600244.13</v>
      </c>
      <c r="D118" s="3">
        <v>398684.43</v>
      </c>
      <c r="E118" s="3">
        <v>201559.7</v>
      </c>
      <c r="F118" s="3">
        <v>54201.09</v>
      </c>
      <c r="G118" s="2">
        <v>147358.60999999999</v>
      </c>
      <c r="H118" s="22">
        <v>33.58</v>
      </c>
      <c r="I118" s="3">
        <v>24.55</v>
      </c>
      <c r="J118" s="3">
        <v>1128</v>
      </c>
      <c r="K118" s="3">
        <v>1283.77</v>
      </c>
      <c r="L118" s="3">
        <v>10076.469999999999</v>
      </c>
    </row>
    <row r="119" spans="1:12">
      <c r="A119" s="3" t="s">
        <v>190</v>
      </c>
      <c r="B119" s="12" t="s">
        <v>1226</v>
      </c>
      <c r="C119" s="3">
        <v>679913.99</v>
      </c>
      <c r="D119" s="3">
        <v>424259.27</v>
      </c>
      <c r="E119" s="3">
        <v>255654.72</v>
      </c>
      <c r="F119" s="3">
        <v>129958.17</v>
      </c>
      <c r="G119" s="2">
        <v>125696.55</v>
      </c>
      <c r="H119" s="22">
        <v>37.6</v>
      </c>
      <c r="I119" s="3">
        <v>18.489999999999998</v>
      </c>
      <c r="J119" s="3">
        <v>1496</v>
      </c>
      <c r="K119" s="3">
        <v>1508.76</v>
      </c>
      <c r="L119" s="3">
        <v>21229.68</v>
      </c>
    </row>
    <row r="120" spans="1:12">
      <c r="A120" s="3" t="s">
        <v>167</v>
      </c>
      <c r="B120" s="12" t="s">
        <v>1226</v>
      </c>
      <c r="C120" s="3">
        <v>1368525.02</v>
      </c>
      <c r="D120" s="3">
        <v>660345.12</v>
      </c>
      <c r="E120" s="3">
        <v>708179.9</v>
      </c>
      <c r="F120" s="3">
        <v>130982.74</v>
      </c>
      <c r="G120" s="2">
        <v>577197.16</v>
      </c>
      <c r="H120" s="22">
        <v>51.75</v>
      </c>
      <c r="I120" s="3">
        <v>42.18</v>
      </c>
      <c r="J120" s="3">
        <v>1880</v>
      </c>
      <c r="K120" s="3">
        <v>2836.46</v>
      </c>
      <c r="L120" s="3">
        <v>34968.46</v>
      </c>
    </row>
    <row r="121" spans="1:12">
      <c r="A121" s="3" t="s">
        <v>73</v>
      </c>
      <c r="B121" s="12" t="s">
        <v>1226</v>
      </c>
      <c r="C121" s="3">
        <v>367305.43</v>
      </c>
      <c r="D121" s="3">
        <v>212425.72</v>
      </c>
      <c r="E121" s="3">
        <v>154879.71</v>
      </c>
      <c r="F121" s="3">
        <v>195456.2</v>
      </c>
      <c r="G121" s="2">
        <v>40576.49</v>
      </c>
      <c r="H121" s="22">
        <v>42.17</v>
      </c>
      <c r="I121" s="3">
        <v>-11.05</v>
      </c>
      <c r="J121" s="3">
        <v>2970</v>
      </c>
      <c r="K121" s="3">
        <v>1017.54</v>
      </c>
      <c r="L121" s="3">
        <v>20164.669999999998</v>
      </c>
    </row>
    <row r="122" spans="1:12">
      <c r="A122" s="2" t="s">
        <v>107</v>
      </c>
      <c r="B122" s="11" t="s">
        <v>1227</v>
      </c>
      <c r="C122" s="2">
        <v>615642.28</v>
      </c>
      <c r="D122" s="2">
        <v>281053.71000000002</v>
      </c>
      <c r="E122" s="2">
        <v>334588.57</v>
      </c>
      <c r="F122" s="2">
        <v>43510.82</v>
      </c>
      <c r="G122" s="2">
        <v>291077.75</v>
      </c>
      <c r="H122" s="22">
        <v>54.35</v>
      </c>
      <c r="I122" s="2">
        <v>47.28</v>
      </c>
      <c r="J122" s="2">
        <v>2152</v>
      </c>
      <c r="K122" s="2">
        <v>729.08</v>
      </c>
      <c r="L122" s="2">
        <v>41673.480000000003</v>
      </c>
    </row>
    <row r="123" spans="1:12">
      <c r="A123" s="2" t="s">
        <v>84</v>
      </c>
      <c r="B123" s="11" t="s">
        <v>1227</v>
      </c>
      <c r="C123" s="2">
        <v>1434504.42</v>
      </c>
      <c r="D123" s="2">
        <v>767948.16</v>
      </c>
      <c r="E123" s="2">
        <v>666556.26</v>
      </c>
      <c r="F123" s="2">
        <v>153147.43</v>
      </c>
      <c r="G123" s="2">
        <v>513408.83</v>
      </c>
      <c r="H123" s="22">
        <v>46.47</v>
      </c>
      <c r="I123" s="2">
        <v>35.79</v>
      </c>
      <c r="J123" s="2">
        <v>2723</v>
      </c>
      <c r="K123" s="2">
        <v>3372.36</v>
      </c>
      <c r="L123" s="2">
        <v>95485.52</v>
      </c>
    </row>
    <row r="124" spans="1:12">
      <c r="A124" s="2" t="s">
        <v>66</v>
      </c>
      <c r="B124" s="11" t="s">
        <v>1227</v>
      </c>
      <c r="C124" s="2">
        <v>1004887.58</v>
      </c>
      <c r="D124" s="2">
        <v>503866.13</v>
      </c>
      <c r="E124" s="2">
        <v>501021.45</v>
      </c>
      <c r="F124" s="2">
        <v>179162.31</v>
      </c>
      <c r="G124" s="2">
        <v>321859.14</v>
      </c>
      <c r="H124" s="22">
        <v>49.86</v>
      </c>
      <c r="I124" s="2">
        <v>32.03</v>
      </c>
      <c r="J124" s="2">
        <v>1427</v>
      </c>
      <c r="K124" s="2">
        <v>2124.88</v>
      </c>
      <c r="L124" s="2">
        <v>73413.41</v>
      </c>
    </row>
    <row r="125" spans="1:12">
      <c r="A125" s="2" t="s">
        <v>130</v>
      </c>
      <c r="B125" s="11" t="s">
        <v>1227</v>
      </c>
      <c r="C125" s="2">
        <v>415958.8</v>
      </c>
      <c r="D125" s="2">
        <v>276242.48</v>
      </c>
      <c r="E125" s="2">
        <v>139716.32</v>
      </c>
      <c r="F125" s="2">
        <v>52084.23</v>
      </c>
      <c r="G125" s="2">
        <v>87632.09</v>
      </c>
      <c r="H125" s="22">
        <v>33.588980447101974</v>
      </c>
      <c r="I125" s="2">
        <v>21.07</v>
      </c>
      <c r="J125" s="2">
        <v>2888</v>
      </c>
      <c r="K125" s="2">
        <v>2744.34</v>
      </c>
      <c r="L125" s="2">
        <v>21560.17</v>
      </c>
    </row>
    <row r="126" spans="1:12">
      <c r="A126" s="2" t="s">
        <v>95</v>
      </c>
      <c r="B126" s="11" t="s">
        <v>1227</v>
      </c>
      <c r="C126" s="2">
        <v>1649276.61</v>
      </c>
      <c r="D126" s="2">
        <v>1054880.6299999999</v>
      </c>
      <c r="E126" s="2">
        <v>594395.98</v>
      </c>
      <c r="F126" s="2">
        <v>37363.97</v>
      </c>
      <c r="G126" s="2">
        <v>557032.01</v>
      </c>
      <c r="H126" s="22">
        <v>36.04</v>
      </c>
      <c r="I126" s="2">
        <v>33.770000000000003</v>
      </c>
      <c r="J126" s="2">
        <v>414</v>
      </c>
      <c r="K126" s="2">
        <v>3259.56</v>
      </c>
      <c r="L126" s="2">
        <v>23206.99</v>
      </c>
    </row>
    <row r="127" spans="1:12">
      <c r="A127" s="2" t="s">
        <v>59</v>
      </c>
      <c r="B127" s="11" t="s">
        <v>1227</v>
      </c>
      <c r="C127" s="2">
        <v>1951770.96</v>
      </c>
      <c r="D127" s="2">
        <v>1287842.73</v>
      </c>
      <c r="E127" s="2">
        <v>663928.23</v>
      </c>
      <c r="F127" s="2">
        <v>147786.07999999999</v>
      </c>
      <c r="G127" s="2">
        <v>516142.15</v>
      </c>
      <c r="H127" s="22">
        <v>34.020000000000003</v>
      </c>
      <c r="I127" s="2">
        <v>26.44</v>
      </c>
      <c r="J127" s="2">
        <v>2929</v>
      </c>
      <c r="K127" s="2">
        <v>2842.26</v>
      </c>
      <c r="L127" s="2">
        <v>25178.58</v>
      </c>
    </row>
    <row r="128" spans="1:12">
      <c r="A128" s="2" t="s">
        <v>120</v>
      </c>
      <c r="B128" s="11" t="s">
        <v>1227</v>
      </c>
      <c r="C128" s="2">
        <v>1965997.22</v>
      </c>
      <c r="D128" s="2">
        <v>1093490.1499999999</v>
      </c>
      <c r="E128" s="2">
        <v>872507.07</v>
      </c>
      <c r="F128" s="2">
        <v>159714.03</v>
      </c>
      <c r="G128" s="2">
        <v>712793.04</v>
      </c>
      <c r="H128" s="22">
        <v>44.38</v>
      </c>
      <c r="I128" s="2">
        <v>36.26</v>
      </c>
      <c r="J128" s="2">
        <v>657</v>
      </c>
      <c r="K128" s="2">
        <v>548.75</v>
      </c>
      <c r="L128" s="2">
        <v>121843.43</v>
      </c>
    </row>
    <row r="129" spans="1:12">
      <c r="A129" s="2" t="s">
        <v>190</v>
      </c>
      <c r="B129" s="11" t="s">
        <v>1227</v>
      </c>
      <c r="C129" s="2">
        <v>1230569.56</v>
      </c>
      <c r="D129" s="2">
        <v>802431.82</v>
      </c>
      <c r="E129" s="2">
        <v>428137.74</v>
      </c>
      <c r="F129" s="2">
        <v>47009.64</v>
      </c>
      <c r="G129" s="2">
        <v>381128.1</v>
      </c>
      <c r="H129" s="22">
        <v>34.79</v>
      </c>
      <c r="I129" s="2">
        <v>30.97</v>
      </c>
      <c r="J129" s="2">
        <v>2965</v>
      </c>
      <c r="K129" s="2">
        <v>958.91</v>
      </c>
      <c r="L129" s="2">
        <v>48901</v>
      </c>
    </row>
    <row r="130" spans="1:12">
      <c r="A130" s="2" t="s">
        <v>167</v>
      </c>
      <c r="B130" s="11" t="s">
        <v>1227</v>
      </c>
      <c r="C130" s="2">
        <v>1061057.8600000001</v>
      </c>
      <c r="D130" s="2">
        <v>672491.07</v>
      </c>
      <c r="E130" s="2">
        <v>388566.79</v>
      </c>
      <c r="F130" s="2">
        <v>74315.58</v>
      </c>
      <c r="G130" s="2">
        <v>314251.21000000002</v>
      </c>
      <c r="H130" s="22">
        <v>36.619999999999997</v>
      </c>
      <c r="I130" s="2">
        <v>29.62</v>
      </c>
      <c r="J130" s="2">
        <v>2629</v>
      </c>
      <c r="K130" s="2">
        <v>2945.66</v>
      </c>
      <c r="L130" s="2">
        <v>67867.69</v>
      </c>
    </row>
    <row r="131" spans="1:12">
      <c r="A131" s="2" t="s">
        <v>73</v>
      </c>
      <c r="B131" s="11" t="s">
        <v>1227</v>
      </c>
      <c r="C131" s="2">
        <v>479125.46</v>
      </c>
      <c r="D131" s="2">
        <v>274936.83</v>
      </c>
      <c r="E131" s="2">
        <v>204188.63</v>
      </c>
      <c r="F131" s="2">
        <v>137025.13</v>
      </c>
      <c r="G131" s="2">
        <v>67163.5</v>
      </c>
      <c r="H131" s="22">
        <v>42.62</v>
      </c>
      <c r="I131" s="2">
        <v>14.02</v>
      </c>
      <c r="J131" s="2">
        <v>2349</v>
      </c>
      <c r="K131" s="2">
        <v>568.70000000000005</v>
      </c>
      <c r="L131" s="2">
        <v>17946.86</v>
      </c>
    </row>
    <row r="132" spans="1:12">
      <c r="A132" s="3" t="s">
        <v>107</v>
      </c>
      <c r="B132" s="12" t="s">
        <v>1228</v>
      </c>
      <c r="C132" s="3">
        <v>1043774.3</v>
      </c>
      <c r="D132" s="3">
        <v>639199.18000000005</v>
      </c>
      <c r="E132" s="3">
        <v>404575.12</v>
      </c>
      <c r="F132" s="3">
        <v>61276</v>
      </c>
      <c r="G132" s="2">
        <v>343299.12</v>
      </c>
      <c r="H132" s="22">
        <v>38.76</v>
      </c>
      <c r="I132" s="3">
        <v>32.89</v>
      </c>
      <c r="J132" s="3">
        <v>1787</v>
      </c>
      <c r="K132" s="3">
        <v>1872.63</v>
      </c>
      <c r="L132" s="3">
        <v>11482.58</v>
      </c>
    </row>
    <row r="133" spans="1:12">
      <c r="A133" s="3" t="s">
        <v>84</v>
      </c>
      <c r="B133" s="12" t="s">
        <v>1228</v>
      </c>
      <c r="C133" s="3">
        <v>549228.04</v>
      </c>
      <c r="D133" s="3">
        <v>361642.68</v>
      </c>
      <c r="E133" s="3">
        <v>187585.36</v>
      </c>
      <c r="F133" s="3">
        <v>186787.56</v>
      </c>
      <c r="G133" s="2">
        <v>797.8</v>
      </c>
      <c r="H133" s="22">
        <v>34.15</v>
      </c>
      <c r="I133" s="3">
        <v>0.15</v>
      </c>
      <c r="J133" s="3">
        <v>2162</v>
      </c>
      <c r="K133" s="3">
        <v>3231.72</v>
      </c>
      <c r="L133" s="3">
        <v>35029.96</v>
      </c>
    </row>
    <row r="134" spans="1:12">
      <c r="A134" s="3" t="s">
        <v>66</v>
      </c>
      <c r="B134" s="12" t="s">
        <v>1228</v>
      </c>
      <c r="C134" s="3">
        <v>748190.24</v>
      </c>
      <c r="D134" s="3">
        <v>513133.8</v>
      </c>
      <c r="E134" s="3">
        <v>235056.44</v>
      </c>
      <c r="F134" s="3">
        <v>103903.6</v>
      </c>
      <c r="G134" s="2">
        <v>131152.84</v>
      </c>
      <c r="H134" s="22">
        <v>31.42</v>
      </c>
      <c r="I134" s="3">
        <v>17.53</v>
      </c>
      <c r="J134" s="3">
        <v>1610</v>
      </c>
      <c r="K134" s="3">
        <v>3468.93</v>
      </c>
      <c r="L134" s="3">
        <v>34879.25</v>
      </c>
    </row>
    <row r="135" spans="1:12">
      <c r="A135" s="3" t="s">
        <v>130</v>
      </c>
      <c r="B135" s="12" t="s">
        <v>1228</v>
      </c>
      <c r="C135" s="3">
        <v>1645760.12</v>
      </c>
      <c r="D135" s="3">
        <v>816613.26</v>
      </c>
      <c r="E135" s="3">
        <v>829146.86</v>
      </c>
      <c r="F135" s="3">
        <v>48843.66</v>
      </c>
      <c r="G135" s="2">
        <v>780303.2</v>
      </c>
      <c r="H135" s="22">
        <v>50.38</v>
      </c>
      <c r="I135" s="3">
        <v>47.41</v>
      </c>
      <c r="J135" s="3">
        <v>954</v>
      </c>
      <c r="K135" s="3">
        <v>1110.67</v>
      </c>
      <c r="L135" s="3">
        <v>61479.75</v>
      </c>
    </row>
    <row r="136" spans="1:12">
      <c r="A136" s="3" t="s">
        <v>95</v>
      </c>
      <c r="B136" s="12" t="s">
        <v>1228</v>
      </c>
      <c r="C136" s="3">
        <v>1613885.63</v>
      </c>
      <c r="D136" s="3">
        <v>921956.94</v>
      </c>
      <c r="E136" s="3">
        <v>691928.69</v>
      </c>
      <c r="F136" s="3">
        <v>49731.06</v>
      </c>
      <c r="G136" s="2">
        <v>642197.63</v>
      </c>
      <c r="H136" s="22">
        <v>42.87</v>
      </c>
      <c r="I136" s="3">
        <v>39.79</v>
      </c>
      <c r="J136" s="3">
        <v>1163</v>
      </c>
      <c r="K136" s="3">
        <v>2608.4899999999998</v>
      </c>
      <c r="L136" s="3">
        <v>76524.86</v>
      </c>
    </row>
    <row r="137" spans="1:12">
      <c r="A137" s="3" t="s">
        <v>59</v>
      </c>
      <c r="B137" s="12" t="s">
        <v>1228</v>
      </c>
      <c r="C137" s="3">
        <v>410451.20000000001</v>
      </c>
      <c r="D137" s="3">
        <v>286676.87</v>
      </c>
      <c r="E137" s="3">
        <v>123774.33</v>
      </c>
      <c r="F137" s="3">
        <v>127669.28</v>
      </c>
      <c r="G137" s="2">
        <v>3894.95</v>
      </c>
      <c r="H137" s="22">
        <v>30.16</v>
      </c>
      <c r="I137" s="3">
        <v>-0.95</v>
      </c>
      <c r="J137" s="3">
        <v>2005</v>
      </c>
      <c r="K137" s="3">
        <v>1133.3</v>
      </c>
      <c r="L137" s="3">
        <v>6058.15</v>
      </c>
    </row>
    <row r="138" spans="1:12">
      <c r="A138" s="3" t="s">
        <v>120</v>
      </c>
      <c r="B138" s="12" t="s">
        <v>1228</v>
      </c>
      <c r="C138" s="3">
        <v>1563201.26</v>
      </c>
      <c r="D138" s="3">
        <v>720056.2</v>
      </c>
      <c r="E138" s="3">
        <v>843145.06</v>
      </c>
      <c r="F138" s="3">
        <v>48328.95</v>
      </c>
      <c r="G138" s="2">
        <v>794816.11</v>
      </c>
      <c r="H138" s="22">
        <v>53.94</v>
      </c>
      <c r="I138" s="3">
        <v>50.85</v>
      </c>
      <c r="J138" s="3">
        <v>2902</v>
      </c>
      <c r="K138" s="3">
        <v>1943.13</v>
      </c>
      <c r="L138" s="3">
        <v>7411.48</v>
      </c>
    </row>
    <row r="139" spans="1:12">
      <c r="A139" s="3" t="s">
        <v>190</v>
      </c>
      <c r="B139" s="12" t="s">
        <v>1228</v>
      </c>
      <c r="C139" s="3">
        <v>1660622.92</v>
      </c>
      <c r="D139" s="3">
        <v>1024350.08</v>
      </c>
      <c r="E139" s="3">
        <v>636272.84</v>
      </c>
      <c r="F139" s="3">
        <v>58326.63</v>
      </c>
      <c r="G139" s="2">
        <v>577946.21</v>
      </c>
      <c r="H139" s="22">
        <v>38.32</v>
      </c>
      <c r="I139" s="3">
        <v>34.799999999999997</v>
      </c>
      <c r="J139" s="3">
        <v>1426</v>
      </c>
      <c r="K139" s="3">
        <v>1462.67</v>
      </c>
      <c r="L139" s="3">
        <v>57921.35</v>
      </c>
    </row>
    <row r="140" spans="1:12">
      <c r="A140" s="3" t="s">
        <v>167</v>
      </c>
      <c r="B140" s="12" t="s">
        <v>1228</v>
      </c>
      <c r="C140" s="3">
        <v>557594.69999999995</v>
      </c>
      <c r="D140" s="3">
        <v>308697.87</v>
      </c>
      <c r="E140" s="3">
        <v>248896.83</v>
      </c>
      <c r="F140" s="3">
        <v>60921.17</v>
      </c>
      <c r="G140" s="2">
        <v>187975.66</v>
      </c>
      <c r="H140" s="22">
        <v>44.64</v>
      </c>
      <c r="I140" s="3">
        <v>33.71</v>
      </c>
      <c r="J140" s="3">
        <v>1745</v>
      </c>
      <c r="K140" s="3">
        <v>3323.22</v>
      </c>
      <c r="L140" s="3">
        <v>39448.33</v>
      </c>
    </row>
    <row r="141" spans="1:12">
      <c r="A141" s="3" t="s">
        <v>73</v>
      </c>
      <c r="B141" s="12" t="s">
        <v>1228</v>
      </c>
      <c r="C141" s="3">
        <v>342529.64</v>
      </c>
      <c r="D141" s="3">
        <v>222776.54</v>
      </c>
      <c r="E141" s="3">
        <v>119753.1</v>
      </c>
      <c r="F141" s="3">
        <v>81066.850000000006</v>
      </c>
      <c r="G141" s="2">
        <v>38686.25</v>
      </c>
      <c r="H141" s="22">
        <v>34.96</v>
      </c>
      <c r="I141" s="3">
        <v>11.29</v>
      </c>
      <c r="J141" s="3">
        <v>723</v>
      </c>
      <c r="K141" s="3">
        <v>2489.8000000000002</v>
      </c>
      <c r="L141" s="3">
        <v>8231.91</v>
      </c>
    </row>
    <row r="142" spans="1:12">
      <c r="A142" s="2" t="s">
        <v>107</v>
      </c>
      <c r="B142" s="11" t="s">
        <v>1229</v>
      </c>
      <c r="C142" s="2">
        <v>547867.68999999994</v>
      </c>
      <c r="D142" s="2">
        <v>250954.84</v>
      </c>
      <c r="E142" s="2">
        <v>296912.84999999998</v>
      </c>
      <c r="F142" s="2">
        <v>159971.60999999999</v>
      </c>
      <c r="G142" s="2">
        <v>136941.24</v>
      </c>
      <c r="H142" s="22">
        <v>54.19</v>
      </c>
      <c r="I142" s="2">
        <v>25</v>
      </c>
      <c r="J142" s="2">
        <v>261</v>
      </c>
      <c r="K142" s="2">
        <v>3261.39</v>
      </c>
      <c r="L142" s="2">
        <v>41646.620000000003</v>
      </c>
    </row>
    <row r="143" spans="1:12">
      <c r="A143" s="2" t="s">
        <v>84</v>
      </c>
      <c r="B143" s="11" t="s">
        <v>1229</v>
      </c>
      <c r="C143" s="2">
        <v>1362174</v>
      </c>
      <c r="D143" s="2">
        <v>776948.47</v>
      </c>
      <c r="E143" s="2">
        <v>585225.53</v>
      </c>
      <c r="F143" s="2">
        <v>136624.07999999999</v>
      </c>
      <c r="G143" s="2">
        <v>448601.45</v>
      </c>
      <c r="H143" s="22">
        <v>42.96</v>
      </c>
      <c r="I143" s="2">
        <v>32.93</v>
      </c>
      <c r="J143" s="2">
        <v>2399</v>
      </c>
      <c r="K143" s="2">
        <v>3166.97</v>
      </c>
      <c r="L143" s="2">
        <v>50397.18</v>
      </c>
    </row>
    <row r="144" spans="1:12">
      <c r="A144" s="2" t="s">
        <v>66</v>
      </c>
      <c r="B144" s="11" t="s">
        <v>1229</v>
      </c>
      <c r="C144" s="2">
        <v>1300683.3600000001</v>
      </c>
      <c r="D144" s="2">
        <v>751282.47</v>
      </c>
      <c r="E144" s="2">
        <v>549400.89</v>
      </c>
      <c r="F144" s="2">
        <v>174098.25</v>
      </c>
      <c r="G144" s="2">
        <v>375302.64</v>
      </c>
      <c r="H144" s="22">
        <v>42.24</v>
      </c>
      <c r="I144" s="2">
        <v>28.85</v>
      </c>
      <c r="J144" s="2">
        <v>1404</v>
      </c>
      <c r="K144" s="2">
        <v>499.71</v>
      </c>
      <c r="L144" s="2">
        <v>93761.13</v>
      </c>
    </row>
    <row r="145" spans="1:12">
      <c r="A145" s="2" t="s">
        <v>130</v>
      </c>
      <c r="B145" s="11" t="s">
        <v>1229</v>
      </c>
      <c r="C145" s="2">
        <v>1885127.71</v>
      </c>
      <c r="D145" s="2">
        <v>1149353.18</v>
      </c>
      <c r="E145" s="2">
        <v>735774.53</v>
      </c>
      <c r="F145" s="2">
        <v>186858.22</v>
      </c>
      <c r="G145" s="2">
        <v>548916.31000000006</v>
      </c>
      <c r="H145" s="22">
        <v>39.03</v>
      </c>
      <c r="I145" s="2">
        <v>29.12</v>
      </c>
      <c r="J145" s="2">
        <v>1332</v>
      </c>
      <c r="K145" s="2">
        <v>2761.95</v>
      </c>
      <c r="L145" s="2">
        <v>104394.07</v>
      </c>
    </row>
    <row r="146" spans="1:12">
      <c r="A146" s="2" t="s">
        <v>95</v>
      </c>
      <c r="B146" s="11" t="s">
        <v>1229</v>
      </c>
      <c r="C146" s="2">
        <v>786750.17</v>
      </c>
      <c r="D146" s="2">
        <v>393129.5</v>
      </c>
      <c r="E146" s="2">
        <v>393620.67</v>
      </c>
      <c r="F146" s="2">
        <v>145064.93</v>
      </c>
      <c r="G146" s="2">
        <v>248555.74</v>
      </c>
      <c r="H146" s="22">
        <v>50.03</v>
      </c>
      <c r="I146" s="2">
        <v>31.59</v>
      </c>
      <c r="J146" s="2">
        <v>1534</v>
      </c>
      <c r="K146" s="2">
        <v>1036.2</v>
      </c>
      <c r="L146" s="2">
        <v>6931.76</v>
      </c>
    </row>
    <row r="147" spans="1:12">
      <c r="A147" s="2" t="s">
        <v>59</v>
      </c>
      <c r="B147" s="11" t="s">
        <v>1229</v>
      </c>
      <c r="C147" s="2">
        <v>1212477.04</v>
      </c>
      <c r="D147" s="2">
        <v>556129.6</v>
      </c>
      <c r="E147" s="2">
        <v>656347.43999999994</v>
      </c>
      <c r="F147" s="2">
        <v>83880.44</v>
      </c>
      <c r="G147" s="2">
        <v>572467</v>
      </c>
      <c r="H147" s="22">
        <v>54.13</v>
      </c>
      <c r="I147" s="2">
        <v>47.21</v>
      </c>
      <c r="J147" s="2">
        <v>1608</v>
      </c>
      <c r="K147" s="2">
        <v>773.42</v>
      </c>
      <c r="L147" s="2">
        <v>43496.800000000003</v>
      </c>
    </row>
    <row r="148" spans="1:12">
      <c r="A148" s="2" t="s">
        <v>120</v>
      </c>
      <c r="B148" s="11" t="s">
        <v>1229</v>
      </c>
      <c r="C148" s="2">
        <v>414059.99</v>
      </c>
      <c r="D148" s="2">
        <v>212517.58</v>
      </c>
      <c r="E148" s="2">
        <v>201542.41</v>
      </c>
      <c r="F148" s="2">
        <v>41262.050000000003</v>
      </c>
      <c r="G148" s="2">
        <v>160280.35999999999</v>
      </c>
      <c r="H148" s="22">
        <v>48.67</v>
      </c>
      <c r="I148" s="2">
        <v>38.71</v>
      </c>
      <c r="J148" s="2">
        <v>2934</v>
      </c>
      <c r="K148" s="2">
        <v>332.87</v>
      </c>
      <c r="L148" s="2">
        <v>3196.66</v>
      </c>
    </row>
    <row r="149" spans="1:12">
      <c r="A149" s="2" t="s">
        <v>190</v>
      </c>
      <c r="B149" s="11" t="s">
        <v>1229</v>
      </c>
      <c r="C149" s="2">
        <v>1094513.08</v>
      </c>
      <c r="D149" s="2">
        <v>724385.45</v>
      </c>
      <c r="E149" s="2">
        <v>370127.63</v>
      </c>
      <c r="F149" s="2">
        <v>163815.43</v>
      </c>
      <c r="G149" s="2">
        <v>206312.2</v>
      </c>
      <c r="H149" s="22">
        <v>33.82</v>
      </c>
      <c r="I149" s="2">
        <v>18.850000000000001</v>
      </c>
      <c r="J149" s="2">
        <v>2394</v>
      </c>
      <c r="K149" s="2">
        <v>985.06</v>
      </c>
      <c r="L149" s="2">
        <v>23217.26</v>
      </c>
    </row>
    <row r="150" spans="1:12">
      <c r="A150" s="2" t="s">
        <v>167</v>
      </c>
      <c r="B150" s="11" t="s">
        <v>1229</v>
      </c>
      <c r="C150" s="2">
        <v>604076.84</v>
      </c>
      <c r="D150" s="2">
        <v>415017.28</v>
      </c>
      <c r="E150" s="2">
        <v>189059.56</v>
      </c>
      <c r="F150" s="2">
        <v>186929.1</v>
      </c>
      <c r="G150" s="2">
        <v>2130.46</v>
      </c>
      <c r="H150" s="22">
        <v>31.3</v>
      </c>
      <c r="I150" s="2">
        <v>0.35</v>
      </c>
      <c r="J150" s="2">
        <v>2850</v>
      </c>
      <c r="K150" s="2">
        <v>2258.41</v>
      </c>
      <c r="L150" s="2">
        <v>11052.54</v>
      </c>
    </row>
    <row r="151" spans="1:12">
      <c r="A151" s="2" t="s">
        <v>73</v>
      </c>
      <c r="B151" s="11" t="s">
        <v>1229</v>
      </c>
      <c r="C151" s="2">
        <v>647576.31000000006</v>
      </c>
      <c r="D151" s="2">
        <v>360656.59</v>
      </c>
      <c r="E151" s="2">
        <v>286919.71999999997</v>
      </c>
      <c r="F151" s="2">
        <v>126651.07</v>
      </c>
      <c r="G151" s="2">
        <v>160268.65</v>
      </c>
      <c r="H151" s="22">
        <v>44.31</v>
      </c>
      <c r="I151" s="2">
        <v>24.75</v>
      </c>
      <c r="J151" s="2">
        <v>2456</v>
      </c>
      <c r="K151" s="2">
        <v>544.9</v>
      </c>
      <c r="L151" s="2">
        <v>2336.19</v>
      </c>
    </row>
    <row r="152" spans="1:12">
      <c r="A152" s="3" t="s">
        <v>107</v>
      </c>
      <c r="B152" s="12" t="s">
        <v>1230</v>
      </c>
      <c r="C152" s="3">
        <v>600597.57999999996</v>
      </c>
      <c r="D152" s="3">
        <v>371070.07</v>
      </c>
      <c r="E152" s="3">
        <v>229527.51</v>
      </c>
      <c r="F152" s="3">
        <v>64481.71</v>
      </c>
      <c r="G152" s="2">
        <v>165045.79999999999</v>
      </c>
      <c r="H152" s="22">
        <v>38.22</v>
      </c>
      <c r="I152" s="3">
        <v>27.48</v>
      </c>
      <c r="J152" s="3">
        <v>1037</v>
      </c>
      <c r="K152" s="3">
        <v>511.64</v>
      </c>
      <c r="L152" s="3">
        <v>44545.279999999999</v>
      </c>
    </row>
    <row r="153" spans="1:12">
      <c r="A153" s="3" t="s">
        <v>84</v>
      </c>
      <c r="B153" s="12" t="s">
        <v>1230</v>
      </c>
      <c r="C153" s="3">
        <v>1665499.92</v>
      </c>
      <c r="D153" s="3">
        <v>1135783.5</v>
      </c>
      <c r="E153" s="3">
        <v>529716.42000000004</v>
      </c>
      <c r="F153" s="3">
        <v>39523.79</v>
      </c>
      <c r="G153" s="2">
        <v>490192.63</v>
      </c>
      <c r="H153" s="22">
        <v>31.805250401933371</v>
      </c>
      <c r="I153" s="3">
        <v>29.43</v>
      </c>
      <c r="J153" s="3">
        <v>2334</v>
      </c>
      <c r="K153" s="3">
        <v>1257.9000000000001</v>
      </c>
      <c r="L153" s="3">
        <v>96594.22</v>
      </c>
    </row>
    <row r="154" spans="1:12">
      <c r="A154" s="3" t="s">
        <v>66</v>
      </c>
      <c r="B154" s="12" t="s">
        <v>1230</v>
      </c>
      <c r="C154" s="3">
        <v>1942219.13</v>
      </c>
      <c r="D154" s="3">
        <v>874408.08</v>
      </c>
      <c r="E154" s="3">
        <v>1067811.05</v>
      </c>
      <c r="F154" s="3">
        <v>125205.14</v>
      </c>
      <c r="G154" s="2">
        <v>942605.91</v>
      </c>
      <c r="H154" s="22">
        <v>54.98</v>
      </c>
      <c r="I154" s="3">
        <v>48.53</v>
      </c>
      <c r="J154" s="3">
        <v>1671</v>
      </c>
      <c r="K154" s="3">
        <v>651.03</v>
      </c>
      <c r="L154" s="3">
        <v>43848.98</v>
      </c>
    </row>
    <row r="155" spans="1:12">
      <c r="A155" s="3" t="s">
        <v>130</v>
      </c>
      <c r="B155" s="12" t="s">
        <v>1230</v>
      </c>
      <c r="C155" s="3">
        <v>1401642.56</v>
      </c>
      <c r="D155" s="3">
        <v>900597.26</v>
      </c>
      <c r="E155" s="3">
        <v>501045.3</v>
      </c>
      <c r="F155" s="3">
        <v>73747.22</v>
      </c>
      <c r="G155" s="2">
        <v>427298.08</v>
      </c>
      <c r="H155" s="22">
        <v>35.75</v>
      </c>
      <c r="I155" s="3">
        <v>30.49</v>
      </c>
      <c r="J155" s="3">
        <v>503</v>
      </c>
      <c r="K155" s="3">
        <v>1187.32</v>
      </c>
      <c r="L155" s="3">
        <v>6995.58</v>
      </c>
    </row>
    <row r="156" spans="1:12">
      <c r="A156" s="3" t="s">
        <v>95</v>
      </c>
      <c r="B156" s="12" t="s">
        <v>1230</v>
      </c>
      <c r="C156" s="3">
        <v>610007.72</v>
      </c>
      <c r="D156" s="3">
        <v>310664.48</v>
      </c>
      <c r="E156" s="3">
        <v>299343.24</v>
      </c>
      <c r="F156" s="3">
        <v>100141.23</v>
      </c>
      <c r="G156" s="2">
        <v>199202.01</v>
      </c>
      <c r="H156" s="22">
        <v>49.07</v>
      </c>
      <c r="I156" s="3">
        <v>32.659999999999997</v>
      </c>
      <c r="J156" s="3">
        <v>1019</v>
      </c>
      <c r="K156" s="3">
        <v>1501.7</v>
      </c>
      <c r="L156" s="3">
        <v>10768.48</v>
      </c>
    </row>
    <row r="157" spans="1:12">
      <c r="A157" s="3" t="s">
        <v>59</v>
      </c>
      <c r="B157" s="12" t="s">
        <v>1230</v>
      </c>
      <c r="C157" s="3">
        <v>1955838.22</v>
      </c>
      <c r="D157" s="3">
        <v>1141057.02</v>
      </c>
      <c r="E157" s="3">
        <v>814781.2</v>
      </c>
      <c r="F157" s="3">
        <v>50653.3</v>
      </c>
      <c r="G157" s="2">
        <v>764127.9</v>
      </c>
      <c r="H157" s="22">
        <v>41.66</v>
      </c>
      <c r="I157" s="3">
        <v>39.07</v>
      </c>
      <c r="J157" s="3">
        <v>302</v>
      </c>
      <c r="K157" s="3">
        <v>1594.6</v>
      </c>
      <c r="L157" s="3">
        <v>78142.3</v>
      </c>
    </row>
    <row r="158" spans="1:12">
      <c r="A158" s="3" t="s">
        <v>120</v>
      </c>
      <c r="B158" s="12" t="s">
        <v>1230</v>
      </c>
      <c r="C158" s="3">
        <v>422828.4</v>
      </c>
      <c r="D158" s="3">
        <v>253886.46</v>
      </c>
      <c r="E158" s="3">
        <v>168941.94</v>
      </c>
      <c r="F158" s="3">
        <v>129892.52</v>
      </c>
      <c r="G158" s="2">
        <v>39049.42</v>
      </c>
      <c r="H158" s="22">
        <v>39.96</v>
      </c>
      <c r="I158" s="3">
        <v>9.24</v>
      </c>
      <c r="J158" s="3">
        <v>1019</v>
      </c>
      <c r="K158" s="3">
        <v>891.3</v>
      </c>
      <c r="L158" s="3">
        <v>11891.07</v>
      </c>
    </row>
    <row r="159" spans="1:12">
      <c r="A159" s="3" t="s">
        <v>190</v>
      </c>
      <c r="B159" s="12" t="s">
        <v>1230</v>
      </c>
      <c r="C159" s="3">
        <v>735176.48</v>
      </c>
      <c r="D159" s="3">
        <v>436239.15</v>
      </c>
      <c r="E159" s="3">
        <v>298937.33</v>
      </c>
      <c r="F159" s="3">
        <v>166782.51</v>
      </c>
      <c r="G159" s="2">
        <v>132154.82</v>
      </c>
      <c r="H159" s="22">
        <v>40.659999999999997</v>
      </c>
      <c r="I159" s="3">
        <v>17.98</v>
      </c>
      <c r="J159" s="3">
        <v>2758</v>
      </c>
      <c r="K159" s="3">
        <v>2677.24</v>
      </c>
      <c r="L159" s="3">
        <v>5408.42</v>
      </c>
    </row>
    <row r="160" spans="1:12">
      <c r="A160" s="3" t="s">
        <v>167</v>
      </c>
      <c r="B160" s="12" t="s">
        <v>1230</v>
      </c>
      <c r="C160" s="3">
        <v>360157.82</v>
      </c>
      <c r="D160" s="3">
        <v>203707.5</v>
      </c>
      <c r="E160" s="3">
        <v>156450.32</v>
      </c>
      <c r="F160" s="3">
        <v>74503.14</v>
      </c>
      <c r="G160" s="2">
        <v>81947.179999999993</v>
      </c>
      <c r="H160" s="22">
        <v>43.44</v>
      </c>
      <c r="I160" s="3">
        <v>22.75</v>
      </c>
      <c r="J160" s="3">
        <v>891</v>
      </c>
      <c r="K160" s="3">
        <v>459.31</v>
      </c>
      <c r="L160" s="3">
        <v>17806.32</v>
      </c>
    </row>
    <row r="161" spans="1:12">
      <c r="A161" s="3" t="s">
        <v>73</v>
      </c>
      <c r="B161" s="12" t="s">
        <v>1230</v>
      </c>
      <c r="C161" s="3">
        <v>393737.91</v>
      </c>
      <c r="D161" s="3">
        <v>219008.2</v>
      </c>
      <c r="E161" s="3">
        <v>174729.71</v>
      </c>
      <c r="F161" s="3">
        <v>46062.34</v>
      </c>
      <c r="G161" s="2">
        <v>128667.37</v>
      </c>
      <c r="H161" s="22">
        <v>44.38</v>
      </c>
      <c r="I161" s="3">
        <v>32.68</v>
      </c>
      <c r="J161" s="3">
        <v>2906</v>
      </c>
      <c r="K161" s="3">
        <v>2604.9899999999998</v>
      </c>
      <c r="L161" s="3">
        <v>25603.19</v>
      </c>
    </row>
    <row r="162" spans="1:12">
      <c r="A162" s="2" t="s">
        <v>107</v>
      </c>
      <c r="B162" s="11" t="s">
        <v>1231</v>
      </c>
      <c r="C162" s="2">
        <v>1974129.75</v>
      </c>
      <c r="D162" s="2">
        <v>1316314.68</v>
      </c>
      <c r="E162" s="2">
        <v>657815.06999999995</v>
      </c>
      <c r="F162" s="2">
        <v>113290.29</v>
      </c>
      <c r="G162" s="2">
        <v>544524.78</v>
      </c>
      <c r="H162" s="22">
        <v>33.32</v>
      </c>
      <c r="I162" s="2">
        <v>27.58</v>
      </c>
      <c r="J162" s="4">
        <v>1463.3333333333333</v>
      </c>
      <c r="K162" s="2">
        <v>3073.68</v>
      </c>
      <c r="L162" s="2">
        <v>140176.94</v>
      </c>
    </row>
    <row r="163" spans="1:12">
      <c r="A163" s="2" t="s">
        <v>84</v>
      </c>
      <c r="B163" s="11" t="s">
        <v>1231</v>
      </c>
      <c r="C163" s="2">
        <v>767905.11</v>
      </c>
      <c r="D163" s="2">
        <v>448434.6</v>
      </c>
      <c r="E163" s="2">
        <v>319470.51</v>
      </c>
      <c r="F163" s="2">
        <v>65404.62</v>
      </c>
      <c r="G163" s="2">
        <v>254065.89</v>
      </c>
      <c r="H163" s="22">
        <v>41.6</v>
      </c>
      <c r="I163" s="2">
        <v>33.090000000000003</v>
      </c>
      <c r="J163" s="2">
        <v>1558</v>
      </c>
      <c r="K163" s="2">
        <v>2858.51</v>
      </c>
      <c r="L163" s="2">
        <v>54553.79</v>
      </c>
    </row>
    <row r="164" spans="1:12">
      <c r="A164" s="2" t="s">
        <v>66</v>
      </c>
      <c r="B164" s="11" t="s">
        <v>1231</v>
      </c>
      <c r="C164" s="2">
        <v>256132.54</v>
      </c>
      <c r="D164" s="2">
        <v>142903.74</v>
      </c>
      <c r="E164" s="2">
        <v>113228.8</v>
      </c>
      <c r="F164" s="2">
        <v>130327.86</v>
      </c>
      <c r="G164" s="2">
        <v>17099.060000000001</v>
      </c>
      <c r="H164" s="22">
        <v>44.21</v>
      </c>
      <c r="I164" s="2">
        <v>-6.68</v>
      </c>
      <c r="J164" s="2">
        <v>2760</v>
      </c>
      <c r="K164" s="2">
        <v>1318.01</v>
      </c>
      <c r="L164" s="2">
        <v>7843.59</v>
      </c>
    </row>
    <row r="165" spans="1:12">
      <c r="A165" s="2" t="s">
        <v>130</v>
      </c>
      <c r="B165" s="11" t="s">
        <v>1231</v>
      </c>
      <c r="C165" s="2">
        <v>899462.77</v>
      </c>
      <c r="D165" s="2">
        <v>628715.16</v>
      </c>
      <c r="E165" s="2">
        <v>270747.61</v>
      </c>
      <c r="F165" s="2">
        <v>73900.56</v>
      </c>
      <c r="G165" s="2">
        <v>196847.05</v>
      </c>
      <c r="H165" s="22">
        <v>30.1</v>
      </c>
      <c r="I165" s="2">
        <v>21.88</v>
      </c>
      <c r="J165" s="2">
        <v>1284</v>
      </c>
      <c r="K165" s="2">
        <v>869.37</v>
      </c>
      <c r="L165" s="2">
        <v>4993.71</v>
      </c>
    </row>
    <row r="166" spans="1:12">
      <c r="A166" s="2" t="s">
        <v>95</v>
      </c>
      <c r="B166" s="11" t="s">
        <v>1231</v>
      </c>
      <c r="C166" s="2">
        <v>1047782.47</v>
      </c>
      <c r="D166" s="2">
        <v>598390.59</v>
      </c>
      <c r="E166" s="2">
        <v>449391.88</v>
      </c>
      <c r="F166" s="2">
        <v>181383.1</v>
      </c>
      <c r="G166" s="2">
        <v>268008.78000000003</v>
      </c>
      <c r="H166" s="22">
        <v>42.89</v>
      </c>
      <c r="I166" s="2">
        <v>25.58</v>
      </c>
      <c r="J166" s="2">
        <v>793</v>
      </c>
      <c r="K166" s="2">
        <v>991.73</v>
      </c>
      <c r="L166" s="2">
        <v>51084.3</v>
      </c>
    </row>
    <row r="167" spans="1:12">
      <c r="A167" s="2" t="s">
        <v>59</v>
      </c>
      <c r="B167" s="11" t="s">
        <v>1231</v>
      </c>
      <c r="C167" s="2">
        <v>461691</v>
      </c>
      <c r="D167" s="2">
        <v>260629.27</v>
      </c>
      <c r="E167" s="2">
        <v>201061.73</v>
      </c>
      <c r="F167" s="2">
        <v>84437.05</v>
      </c>
      <c r="G167" s="2">
        <v>116624.68</v>
      </c>
      <c r="H167" s="22">
        <v>43.55</v>
      </c>
      <c r="I167" s="2">
        <v>25.26</v>
      </c>
      <c r="J167" s="2">
        <v>217</v>
      </c>
      <c r="K167" s="2">
        <v>3404.48</v>
      </c>
      <c r="L167" s="2">
        <v>20172.04</v>
      </c>
    </row>
    <row r="168" spans="1:12">
      <c r="A168" s="2" t="s">
        <v>120</v>
      </c>
      <c r="B168" s="11" t="s">
        <v>1231</v>
      </c>
      <c r="C168" s="2">
        <v>363402.76</v>
      </c>
      <c r="D168" s="2">
        <v>240378.34</v>
      </c>
      <c r="E168" s="2">
        <v>123024.42</v>
      </c>
      <c r="F168" s="2">
        <v>190113.65</v>
      </c>
      <c r="G168" s="2">
        <v>67089.23</v>
      </c>
      <c r="H168" s="22">
        <v>33.85</v>
      </c>
      <c r="I168" s="2">
        <v>-18.46</v>
      </c>
      <c r="J168" s="2">
        <v>2574</v>
      </c>
      <c r="K168" s="2">
        <v>1413.08</v>
      </c>
      <c r="L168" s="2">
        <v>4667.76</v>
      </c>
    </row>
    <row r="169" spans="1:12">
      <c r="A169" s="2" t="s">
        <v>190</v>
      </c>
      <c r="B169" s="11" t="s">
        <v>1231</v>
      </c>
      <c r="C169" s="2">
        <v>1719536.39</v>
      </c>
      <c r="D169" s="2">
        <v>814515.85</v>
      </c>
      <c r="E169" s="2">
        <v>905020.54</v>
      </c>
      <c r="F169" s="2">
        <v>87262.47</v>
      </c>
      <c r="G169" s="2">
        <v>817758.07</v>
      </c>
      <c r="H169" s="22">
        <v>52.63</v>
      </c>
      <c r="I169" s="2">
        <v>47.56</v>
      </c>
      <c r="J169" s="2">
        <v>475</v>
      </c>
      <c r="K169" s="2">
        <v>2112.5700000000002</v>
      </c>
      <c r="L169" s="2">
        <v>73054.66</v>
      </c>
    </row>
    <row r="170" spans="1:12">
      <c r="A170" s="2" t="s">
        <v>167</v>
      </c>
      <c r="B170" s="11" t="s">
        <v>1231</v>
      </c>
      <c r="C170" s="2">
        <v>1280706.92</v>
      </c>
      <c r="D170" s="2">
        <v>624104.88</v>
      </c>
      <c r="E170" s="2">
        <v>656602.04</v>
      </c>
      <c r="F170" s="2">
        <v>192865.59</v>
      </c>
      <c r="G170" s="2">
        <v>463736.45</v>
      </c>
      <c r="H170" s="22">
        <v>51.27</v>
      </c>
      <c r="I170" s="2">
        <v>36.21</v>
      </c>
      <c r="J170" s="2">
        <v>896</v>
      </c>
      <c r="K170" s="2">
        <v>3331.18</v>
      </c>
      <c r="L170" s="2">
        <v>12023.33</v>
      </c>
    </row>
    <row r="171" spans="1:12">
      <c r="A171" s="2" t="s">
        <v>73</v>
      </c>
      <c r="B171" s="11" t="s">
        <v>1231</v>
      </c>
      <c r="C171" s="2">
        <v>839823.74</v>
      </c>
      <c r="D171" s="2">
        <v>500864.14</v>
      </c>
      <c r="E171" s="2">
        <v>338959.6</v>
      </c>
      <c r="F171" s="2">
        <v>160669.95000000001</v>
      </c>
      <c r="G171" s="2">
        <v>178289.65</v>
      </c>
      <c r="H171" s="22">
        <v>40.36</v>
      </c>
      <c r="I171" s="2">
        <v>21.23</v>
      </c>
      <c r="J171" s="2">
        <v>266</v>
      </c>
      <c r="K171" s="2">
        <v>664.59</v>
      </c>
      <c r="L171" s="2">
        <v>44448.73</v>
      </c>
    </row>
    <row r="172" spans="1:12">
      <c r="A172" s="3" t="s">
        <v>107</v>
      </c>
      <c r="B172" s="12" t="s">
        <v>1232</v>
      </c>
      <c r="C172" s="3">
        <v>969600.23</v>
      </c>
      <c r="D172" s="3">
        <v>624474.6</v>
      </c>
      <c r="E172" s="3">
        <v>345125.63</v>
      </c>
      <c r="F172" s="3">
        <v>133348.09</v>
      </c>
      <c r="G172" s="2">
        <v>211777.54</v>
      </c>
      <c r="H172" s="22">
        <v>35.590000000000003</v>
      </c>
      <c r="I172" s="3">
        <v>21.84</v>
      </c>
      <c r="J172" s="3">
        <v>1758</v>
      </c>
      <c r="K172" s="3">
        <v>2604.64</v>
      </c>
      <c r="L172" s="3">
        <v>30573.49</v>
      </c>
    </row>
    <row r="173" spans="1:12">
      <c r="A173" s="3" t="s">
        <v>84</v>
      </c>
      <c r="B173" s="12" t="s">
        <v>1232</v>
      </c>
      <c r="C173" s="3">
        <v>836471.97</v>
      </c>
      <c r="D173" s="3">
        <v>579175.97</v>
      </c>
      <c r="E173" s="3">
        <v>257296</v>
      </c>
      <c r="F173" s="3">
        <v>77678.2</v>
      </c>
      <c r="G173" s="2">
        <v>179617.8</v>
      </c>
      <c r="H173" s="22">
        <v>30.76</v>
      </c>
      <c r="I173" s="3">
        <v>21.47</v>
      </c>
      <c r="J173" s="3">
        <v>327</v>
      </c>
      <c r="K173" s="3">
        <v>1385.29</v>
      </c>
      <c r="L173" s="3">
        <v>25110.27</v>
      </c>
    </row>
    <row r="174" spans="1:12">
      <c r="A174" s="3" t="s">
        <v>66</v>
      </c>
      <c r="B174" s="12" t="s">
        <v>1232</v>
      </c>
      <c r="C174" s="3">
        <v>886817.08</v>
      </c>
      <c r="D174" s="3">
        <v>519922.85</v>
      </c>
      <c r="E174" s="3">
        <v>366894.23</v>
      </c>
      <c r="F174" s="3">
        <v>142622.89000000001</v>
      </c>
      <c r="G174" s="2">
        <v>224271.34</v>
      </c>
      <c r="H174" s="22">
        <v>41.37</v>
      </c>
      <c r="I174" s="3">
        <v>25.29</v>
      </c>
      <c r="J174" s="4">
        <v>1786.4411764705883</v>
      </c>
      <c r="K174" s="3">
        <v>745.02</v>
      </c>
      <c r="L174" s="3">
        <v>39404.589999999997</v>
      </c>
    </row>
    <row r="175" spans="1:12">
      <c r="A175" s="3" t="s">
        <v>130</v>
      </c>
      <c r="B175" s="12" t="s">
        <v>1232</v>
      </c>
      <c r="C175" s="3">
        <v>1962959.56</v>
      </c>
      <c r="D175" s="3">
        <v>981808.14</v>
      </c>
      <c r="E175" s="3">
        <v>981151.42</v>
      </c>
      <c r="F175" s="3">
        <v>96747.86</v>
      </c>
      <c r="G175" s="2">
        <v>884403.56</v>
      </c>
      <c r="H175" s="22">
        <v>49.98</v>
      </c>
      <c r="I175" s="3">
        <v>45.05</v>
      </c>
      <c r="J175" s="3">
        <v>2843</v>
      </c>
      <c r="K175" s="3">
        <v>1874.58</v>
      </c>
      <c r="L175" s="3">
        <v>22593.29</v>
      </c>
    </row>
    <row r="176" spans="1:12">
      <c r="A176" s="3" t="s">
        <v>95</v>
      </c>
      <c r="B176" s="12" t="s">
        <v>1232</v>
      </c>
      <c r="C176" s="3">
        <v>520509.38</v>
      </c>
      <c r="D176" s="3">
        <v>282829.84000000003</v>
      </c>
      <c r="E176" s="3">
        <v>237679.54</v>
      </c>
      <c r="F176" s="3">
        <v>107815.83</v>
      </c>
      <c r="G176" s="2">
        <v>129863.71</v>
      </c>
      <c r="H176" s="22">
        <v>45.66</v>
      </c>
      <c r="I176" s="3">
        <v>24.95</v>
      </c>
      <c r="J176" s="3">
        <v>995</v>
      </c>
      <c r="K176" s="3">
        <v>2322.4699999999998</v>
      </c>
      <c r="L176" s="3">
        <v>40622.879999999997</v>
      </c>
    </row>
    <row r="177" spans="1:12">
      <c r="A177" s="3" t="s">
        <v>59</v>
      </c>
      <c r="B177" s="12" t="s">
        <v>1232</v>
      </c>
      <c r="C177" s="3">
        <v>1113336.26</v>
      </c>
      <c r="D177" s="3">
        <v>681151.36</v>
      </c>
      <c r="E177" s="3">
        <v>432184.9</v>
      </c>
      <c r="F177" s="3">
        <v>80244.67</v>
      </c>
      <c r="G177" s="2">
        <v>351940.23</v>
      </c>
      <c r="H177" s="22">
        <v>38.82</v>
      </c>
      <c r="I177" s="3">
        <v>31.61</v>
      </c>
      <c r="J177" s="3">
        <v>1387</v>
      </c>
      <c r="K177" s="3">
        <v>3402.74</v>
      </c>
      <c r="L177" s="3">
        <v>67170.84</v>
      </c>
    </row>
    <row r="178" spans="1:12">
      <c r="A178" s="3" t="s">
        <v>120</v>
      </c>
      <c r="B178" s="12" t="s">
        <v>1232</v>
      </c>
      <c r="C178" s="3">
        <v>1101141.95</v>
      </c>
      <c r="D178" s="3">
        <v>696074.25</v>
      </c>
      <c r="E178" s="3">
        <v>405067.7</v>
      </c>
      <c r="F178" s="3">
        <v>71109.83</v>
      </c>
      <c r="G178" s="2">
        <v>333957.87</v>
      </c>
      <c r="H178" s="22">
        <v>36.79</v>
      </c>
      <c r="I178" s="3">
        <v>30.33</v>
      </c>
      <c r="J178" s="3">
        <v>2535</v>
      </c>
      <c r="K178" s="3">
        <v>518.67999999999995</v>
      </c>
      <c r="L178" s="3">
        <v>72198.490000000005</v>
      </c>
    </row>
    <row r="179" spans="1:12">
      <c r="A179" s="3" t="s">
        <v>190</v>
      </c>
      <c r="B179" s="12" t="s">
        <v>1232</v>
      </c>
      <c r="C179" s="3">
        <v>968790.6</v>
      </c>
      <c r="D179" s="3">
        <v>520075.01</v>
      </c>
      <c r="E179" s="3">
        <v>448715.59</v>
      </c>
      <c r="F179" s="3">
        <v>43032.47</v>
      </c>
      <c r="G179" s="2">
        <v>405683.12</v>
      </c>
      <c r="H179" s="22">
        <v>46.32</v>
      </c>
      <c r="I179" s="3">
        <v>41.88</v>
      </c>
      <c r="J179" s="3">
        <v>1436</v>
      </c>
      <c r="K179" s="3">
        <v>1914.85</v>
      </c>
      <c r="L179" s="3">
        <v>23243.919999999998</v>
      </c>
    </row>
    <row r="180" spans="1:12">
      <c r="A180" s="3" t="s">
        <v>167</v>
      </c>
      <c r="B180" s="12" t="s">
        <v>1232</v>
      </c>
      <c r="C180" s="3">
        <v>1493450.16</v>
      </c>
      <c r="D180" s="3">
        <v>834524.54</v>
      </c>
      <c r="E180" s="3">
        <v>658925.62</v>
      </c>
      <c r="F180" s="3">
        <v>186398.14</v>
      </c>
      <c r="G180" s="2">
        <v>472527.48</v>
      </c>
      <c r="H180" s="22">
        <v>44.12</v>
      </c>
      <c r="I180" s="3">
        <v>31.64</v>
      </c>
      <c r="J180" s="3">
        <v>2058</v>
      </c>
      <c r="K180" s="3">
        <v>2947.22</v>
      </c>
      <c r="L180" s="3">
        <v>59038.96</v>
      </c>
    </row>
    <row r="181" spans="1:12">
      <c r="A181" s="3" t="s">
        <v>73</v>
      </c>
      <c r="B181" s="12" t="s">
        <v>1232</v>
      </c>
      <c r="C181" s="3">
        <v>523193.95</v>
      </c>
      <c r="D181" s="3">
        <v>259269.83</v>
      </c>
      <c r="E181" s="3">
        <v>263924.12</v>
      </c>
      <c r="F181" s="3">
        <v>96802.75</v>
      </c>
      <c r="G181" s="2">
        <v>167121.37</v>
      </c>
      <c r="H181" s="22">
        <v>50.44</v>
      </c>
      <c r="I181" s="3">
        <v>31.94</v>
      </c>
      <c r="J181" s="3">
        <v>541</v>
      </c>
      <c r="K181" s="3">
        <v>1632</v>
      </c>
      <c r="L181" s="3">
        <v>29482.13</v>
      </c>
    </row>
    <row r="182" spans="1:12">
      <c r="A182" s="2" t="s">
        <v>107</v>
      </c>
      <c r="B182" s="11" t="s">
        <v>1233</v>
      </c>
      <c r="C182" s="2">
        <v>1890450.44</v>
      </c>
      <c r="D182" s="2">
        <v>1121006.1299999999</v>
      </c>
      <c r="E182" s="2">
        <v>769444.31</v>
      </c>
      <c r="F182" s="2">
        <v>121147.1</v>
      </c>
      <c r="G182" s="2">
        <v>648297.21</v>
      </c>
      <c r="H182" s="22">
        <v>40.700000000000003</v>
      </c>
      <c r="I182" s="2">
        <v>34.29</v>
      </c>
      <c r="J182" s="2">
        <v>2827</v>
      </c>
      <c r="K182" s="2">
        <v>3102.51</v>
      </c>
      <c r="L182" s="2">
        <v>119010.64</v>
      </c>
    </row>
    <row r="183" spans="1:12">
      <c r="A183" s="2" t="s">
        <v>84</v>
      </c>
      <c r="B183" s="11" t="s">
        <v>1233</v>
      </c>
      <c r="C183" s="2">
        <v>1161691.72</v>
      </c>
      <c r="D183" s="2">
        <v>570962.62</v>
      </c>
      <c r="E183" s="2">
        <v>590729.1</v>
      </c>
      <c r="F183" s="2">
        <v>132967.15</v>
      </c>
      <c r="G183" s="2">
        <v>457761.95</v>
      </c>
      <c r="H183" s="22">
        <v>50.85</v>
      </c>
      <c r="I183" s="2">
        <v>39.4</v>
      </c>
      <c r="J183" s="2">
        <v>967</v>
      </c>
      <c r="K183" s="2">
        <v>2204.61</v>
      </c>
      <c r="L183" s="2">
        <v>80351.31</v>
      </c>
    </row>
    <row r="184" spans="1:12">
      <c r="A184" s="2" t="s">
        <v>66</v>
      </c>
      <c r="B184" s="11" t="s">
        <v>1233</v>
      </c>
      <c r="C184" s="2">
        <v>1717989.81</v>
      </c>
      <c r="D184" s="2">
        <v>927838.14</v>
      </c>
      <c r="E184" s="2">
        <v>790151.67</v>
      </c>
      <c r="F184" s="2">
        <v>100930.03</v>
      </c>
      <c r="G184" s="2">
        <v>689221.64</v>
      </c>
      <c r="H184" s="22">
        <v>45.99</v>
      </c>
      <c r="I184" s="2">
        <v>40.119999999999997</v>
      </c>
      <c r="J184" s="2">
        <v>1381</v>
      </c>
      <c r="K184" s="2">
        <v>3491.86</v>
      </c>
      <c r="L184" s="2">
        <v>92093.34</v>
      </c>
    </row>
    <row r="185" spans="1:12">
      <c r="A185" s="2" t="s">
        <v>130</v>
      </c>
      <c r="B185" s="11" t="s">
        <v>1233</v>
      </c>
      <c r="C185" s="2">
        <v>1583673.18</v>
      </c>
      <c r="D185" s="2">
        <v>799116.14</v>
      </c>
      <c r="E185" s="2">
        <v>784557.04</v>
      </c>
      <c r="F185" s="2">
        <v>139367.49</v>
      </c>
      <c r="G185" s="2">
        <v>645189.55000000005</v>
      </c>
      <c r="H185" s="22">
        <v>49.54</v>
      </c>
      <c r="I185" s="2">
        <v>40.74</v>
      </c>
      <c r="J185" s="2">
        <v>2008</v>
      </c>
      <c r="K185" s="2">
        <v>2589.2800000000002</v>
      </c>
      <c r="L185" s="2">
        <v>13085.84</v>
      </c>
    </row>
    <row r="186" spans="1:12">
      <c r="A186" s="2" t="s">
        <v>95</v>
      </c>
      <c r="B186" s="11" t="s">
        <v>1233</v>
      </c>
      <c r="C186" s="2">
        <v>563979.6</v>
      </c>
      <c r="D186" s="2">
        <v>271727.03000000003</v>
      </c>
      <c r="E186" s="2">
        <v>292252.57</v>
      </c>
      <c r="F186" s="2">
        <v>147675.79</v>
      </c>
      <c r="G186" s="2">
        <v>144576.78</v>
      </c>
      <c r="H186" s="22">
        <v>51.82</v>
      </c>
      <c r="I186" s="2">
        <v>25.64</v>
      </c>
      <c r="J186" s="2">
        <v>444</v>
      </c>
      <c r="K186" s="2">
        <v>1197.93</v>
      </c>
      <c r="L186" s="2">
        <v>5013.07</v>
      </c>
    </row>
    <row r="187" spans="1:12">
      <c r="A187" s="2" t="s">
        <v>59</v>
      </c>
      <c r="B187" s="11" t="s">
        <v>1233</v>
      </c>
      <c r="C187" s="2">
        <v>1989318.32</v>
      </c>
      <c r="D187" s="2">
        <v>1226856.24</v>
      </c>
      <c r="E187" s="2">
        <v>762462.08</v>
      </c>
      <c r="F187" s="2">
        <v>165927.95000000001</v>
      </c>
      <c r="G187" s="2">
        <v>596534.13</v>
      </c>
      <c r="H187" s="22">
        <v>38.33</v>
      </c>
      <c r="I187" s="2">
        <v>29.99</v>
      </c>
      <c r="J187" s="2">
        <v>2010</v>
      </c>
      <c r="K187" s="2">
        <v>1383.79</v>
      </c>
      <c r="L187" s="2">
        <v>17874.52</v>
      </c>
    </row>
    <row r="188" spans="1:12">
      <c r="A188" s="2" t="s">
        <v>120</v>
      </c>
      <c r="B188" s="11" t="s">
        <v>1233</v>
      </c>
      <c r="C188" s="2">
        <v>1573839.26</v>
      </c>
      <c r="D188" s="2">
        <v>916304.46</v>
      </c>
      <c r="E188" s="2">
        <v>657534.80000000005</v>
      </c>
      <c r="F188" s="2">
        <v>151687.98000000001</v>
      </c>
      <c r="G188" s="2">
        <v>505846.82</v>
      </c>
      <c r="H188" s="22">
        <v>41.78</v>
      </c>
      <c r="I188" s="2">
        <v>32.14</v>
      </c>
      <c r="J188" s="2">
        <v>1354</v>
      </c>
      <c r="K188" s="2">
        <v>849.68</v>
      </c>
      <c r="L188" s="2">
        <v>94936.23</v>
      </c>
    </row>
    <row r="189" spans="1:12">
      <c r="A189" s="2" t="s">
        <v>190</v>
      </c>
      <c r="B189" s="11" t="s">
        <v>1233</v>
      </c>
      <c r="C189" s="2">
        <v>1394222.06</v>
      </c>
      <c r="D189" s="2">
        <v>736620.83</v>
      </c>
      <c r="E189" s="2">
        <v>657601.23</v>
      </c>
      <c r="F189" s="2">
        <v>100433.42</v>
      </c>
      <c r="G189" s="2">
        <v>557167.81000000006</v>
      </c>
      <c r="H189" s="22">
        <v>47.17</v>
      </c>
      <c r="I189" s="2">
        <v>39.96</v>
      </c>
      <c r="J189" s="2">
        <v>1229</v>
      </c>
      <c r="K189" s="2">
        <v>2299.88</v>
      </c>
      <c r="L189" s="2">
        <v>50552.11</v>
      </c>
    </row>
    <row r="190" spans="1:12">
      <c r="A190" s="2" t="s">
        <v>167</v>
      </c>
      <c r="B190" s="11" t="s">
        <v>1233</v>
      </c>
      <c r="C190" s="2">
        <v>604071.11</v>
      </c>
      <c r="D190" s="2">
        <v>302510.56</v>
      </c>
      <c r="E190" s="2">
        <v>301560.55</v>
      </c>
      <c r="F190" s="2">
        <v>190828.9</v>
      </c>
      <c r="G190" s="2">
        <v>110731.65</v>
      </c>
      <c r="H190" s="22">
        <v>49.92</v>
      </c>
      <c r="I190" s="2">
        <v>18.329999999999998</v>
      </c>
      <c r="J190" s="2">
        <v>1290</v>
      </c>
      <c r="K190" s="2">
        <v>1221.48</v>
      </c>
      <c r="L190" s="2">
        <v>23881.02</v>
      </c>
    </row>
    <row r="191" spans="1:12">
      <c r="A191" s="2" t="s">
        <v>73</v>
      </c>
      <c r="B191" s="11" t="s">
        <v>1233</v>
      </c>
      <c r="C191" s="2">
        <v>765103.44</v>
      </c>
      <c r="D191" s="2">
        <v>482798.38</v>
      </c>
      <c r="E191" s="2">
        <v>282305.06</v>
      </c>
      <c r="F191" s="2">
        <v>158750.22</v>
      </c>
      <c r="G191" s="2">
        <v>123554.84</v>
      </c>
      <c r="H191" s="22">
        <v>36.9</v>
      </c>
      <c r="I191" s="2">
        <v>16.149999999999999</v>
      </c>
      <c r="J191" s="2">
        <v>2042</v>
      </c>
      <c r="K191" s="2">
        <v>2296.19</v>
      </c>
      <c r="L191" s="2">
        <v>16224.75</v>
      </c>
    </row>
    <row r="192" spans="1:12">
      <c r="A192" s="3" t="s">
        <v>107</v>
      </c>
      <c r="B192" s="12" t="s">
        <v>1234</v>
      </c>
      <c r="C192" s="3">
        <v>1137168.3600000001</v>
      </c>
      <c r="D192" s="3">
        <v>640114.80000000005</v>
      </c>
      <c r="E192" s="3">
        <v>497053.56</v>
      </c>
      <c r="F192" s="3">
        <v>170591.72</v>
      </c>
      <c r="G192" s="2">
        <v>326461.84000000003</v>
      </c>
      <c r="H192" s="22">
        <v>43.71</v>
      </c>
      <c r="I192" s="3">
        <v>28.71</v>
      </c>
      <c r="J192" s="3">
        <v>373</v>
      </c>
      <c r="K192" s="3">
        <v>3108.9</v>
      </c>
      <c r="L192" s="3">
        <v>22354.15</v>
      </c>
    </row>
    <row r="193" spans="1:12">
      <c r="A193" s="3" t="s">
        <v>84</v>
      </c>
      <c r="B193" s="12" t="s">
        <v>1234</v>
      </c>
      <c r="C193" s="3">
        <v>1552772.38</v>
      </c>
      <c r="D193" s="3">
        <v>972527.03</v>
      </c>
      <c r="E193" s="3">
        <v>580245.35</v>
      </c>
      <c r="F193" s="3">
        <v>83464.899999999994</v>
      </c>
      <c r="G193" s="2">
        <v>496780.45</v>
      </c>
      <c r="H193" s="22">
        <v>37.369999999999997</v>
      </c>
      <c r="I193" s="3">
        <v>31.99</v>
      </c>
      <c r="J193" s="3">
        <v>329</v>
      </c>
      <c r="K193" s="3">
        <v>1168.79</v>
      </c>
      <c r="L193" s="3">
        <v>10782.18</v>
      </c>
    </row>
    <row r="194" spans="1:12">
      <c r="A194" s="3" t="s">
        <v>66</v>
      </c>
      <c r="B194" s="12" t="s">
        <v>1234</v>
      </c>
      <c r="C194" s="3">
        <v>441699.41</v>
      </c>
      <c r="D194" s="3">
        <v>206687.28</v>
      </c>
      <c r="E194" s="3">
        <v>235012.13</v>
      </c>
      <c r="F194" s="3">
        <v>32670.33</v>
      </c>
      <c r="G194" s="2">
        <v>202341.8</v>
      </c>
      <c r="H194" s="22">
        <v>53.21</v>
      </c>
      <c r="I194" s="3">
        <v>45.81</v>
      </c>
      <c r="J194" s="3">
        <v>2193</v>
      </c>
      <c r="K194" s="3">
        <v>2405.37</v>
      </c>
      <c r="L194" s="3">
        <v>34451.67</v>
      </c>
    </row>
    <row r="195" spans="1:12">
      <c r="A195" s="3" t="s">
        <v>130</v>
      </c>
      <c r="B195" s="12" t="s">
        <v>1234</v>
      </c>
      <c r="C195" s="3">
        <v>331255.11</v>
      </c>
      <c r="D195" s="3">
        <v>196380</v>
      </c>
      <c r="E195" s="3">
        <v>134875.10999999999</v>
      </c>
      <c r="F195" s="3">
        <v>72601.38</v>
      </c>
      <c r="G195" s="2">
        <v>62273.73</v>
      </c>
      <c r="H195" s="22">
        <v>40.72</v>
      </c>
      <c r="I195" s="3">
        <v>18.8</v>
      </c>
      <c r="J195" s="3">
        <v>2026</v>
      </c>
      <c r="K195" s="3">
        <v>360.05</v>
      </c>
      <c r="L195" s="3">
        <v>13189.29</v>
      </c>
    </row>
    <row r="196" spans="1:12">
      <c r="A196" s="3" t="s">
        <v>95</v>
      </c>
      <c r="B196" s="12" t="s">
        <v>1234</v>
      </c>
      <c r="C196" s="3">
        <v>1037961.73</v>
      </c>
      <c r="D196" s="3">
        <v>575607.86</v>
      </c>
      <c r="E196" s="3">
        <v>462353.87</v>
      </c>
      <c r="F196" s="3">
        <v>159257.73000000001</v>
      </c>
      <c r="G196" s="2">
        <v>303096.14</v>
      </c>
      <c r="H196" s="22">
        <v>44.54</v>
      </c>
      <c r="I196" s="3">
        <v>29.2</v>
      </c>
      <c r="J196" s="3">
        <v>1100</v>
      </c>
      <c r="K196" s="3">
        <v>3136.51</v>
      </c>
      <c r="L196" s="3">
        <v>50124.08</v>
      </c>
    </row>
    <row r="197" spans="1:12">
      <c r="A197" s="3" t="s">
        <v>59</v>
      </c>
      <c r="B197" s="12" t="s">
        <v>1234</v>
      </c>
      <c r="C197" s="20">
        <v>32</v>
      </c>
      <c r="D197" s="3">
        <v>488617.95</v>
      </c>
      <c r="E197" s="3">
        <v>573548.27</v>
      </c>
      <c r="F197" s="3">
        <v>145261.42000000001</v>
      </c>
      <c r="G197" s="2">
        <v>428286.85</v>
      </c>
      <c r="H197" s="22">
        <v>54</v>
      </c>
      <c r="I197" s="3">
        <v>40.32</v>
      </c>
      <c r="J197" s="3">
        <v>678</v>
      </c>
      <c r="K197" s="3">
        <v>1285.8599999999999</v>
      </c>
      <c r="L197" s="3">
        <v>34127.82</v>
      </c>
    </row>
    <row r="198" spans="1:12">
      <c r="A198" s="3" t="s">
        <v>120</v>
      </c>
      <c r="B198" s="12" t="s">
        <v>1234</v>
      </c>
      <c r="C198" s="3">
        <v>207792.07</v>
      </c>
      <c r="D198" s="3">
        <v>131186.89000000001</v>
      </c>
      <c r="E198" s="3">
        <v>76605.179999999993</v>
      </c>
      <c r="F198" s="3">
        <v>187119.46</v>
      </c>
      <c r="G198" s="2">
        <v>110514.28</v>
      </c>
      <c r="H198" s="22">
        <v>36.869999999999997</v>
      </c>
      <c r="I198" s="3">
        <v>-53.19</v>
      </c>
      <c r="J198" s="3">
        <v>2265</v>
      </c>
      <c r="K198" s="3">
        <v>3024.15</v>
      </c>
      <c r="L198" s="3">
        <v>7891.37</v>
      </c>
    </row>
    <row r="199" spans="1:12">
      <c r="A199" s="3" t="s">
        <v>190</v>
      </c>
      <c r="B199" s="12" t="s">
        <v>1234</v>
      </c>
      <c r="C199" s="3">
        <v>1574195.99</v>
      </c>
      <c r="D199" s="3">
        <v>779463.48</v>
      </c>
      <c r="E199" s="3">
        <v>794732.51</v>
      </c>
      <c r="F199" s="3">
        <v>33162.559999999998</v>
      </c>
      <c r="G199" s="2">
        <v>761569.95</v>
      </c>
      <c r="H199" s="22">
        <v>50.48</v>
      </c>
      <c r="I199" s="3">
        <v>48.38</v>
      </c>
      <c r="J199" s="3">
        <v>2314</v>
      </c>
      <c r="K199" s="3">
        <v>3060.67</v>
      </c>
      <c r="L199" s="3">
        <v>72645.149999999994</v>
      </c>
    </row>
    <row r="200" spans="1:12">
      <c r="A200" s="3" t="s">
        <v>167</v>
      </c>
      <c r="B200" s="12" t="s">
        <v>1234</v>
      </c>
      <c r="C200" s="3">
        <v>434358.8</v>
      </c>
      <c r="D200" s="3">
        <v>288450.92</v>
      </c>
      <c r="E200" s="3">
        <v>145907.88</v>
      </c>
      <c r="F200" s="3">
        <v>132014.07</v>
      </c>
      <c r="G200" s="2">
        <v>13893.81</v>
      </c>
      <c r="H200" s="22">
        <v>33.590000000000003</v>
      </c>
      <c r="I200" s="3">
        <v>3.2</v>
      </c>
      <c r="J200" s="3">
        <v>1359</v>
      </c>
      <c r="K200" s="3">
        <v>2625.47</v>
      </c>
      <c r="L200" s="3">
        <v>6580.12</v>
      </c>
    </row>
    <row r="201" spans="1:12">
      <c r="A201" s="3" t="s">
        <v>73</v>
      </c>
      <c r="B201" s="12" t="s">
        <v>1234</v>
      </c>
      <c r="C201" s="3">
        <v>1940095.33</v>
      </c>
      <c r="D201" s="3">
        <v>1295665.8999999999</v>
      </c>
      <c r="E201" s="3">
        <v>644429.43000000005</v>
      </c>
      <c r="F201" s="3">
        <v>61822.59</v>
      </c>
      <c r="G201" s="2">
        <v>582606.84</v>
      </c>
      <c r="H201" s="22">
        <v>33.22</v>
      </c>
      <c r="I201" s="3">
        <v>30.03</v>
      </c>
      <c r="J201" s="3">
        <v>958</v>
      </c>
      <c r="K201" s="3">
        <v>550.30999999999995</v>
      </c>
      <c r="L201" s="3">
        <v>152442.79</v>
      </c>
    </row>
    <row r="202" spans="1:12">
      <c r="A202" s="2" t="s">
        <v>107</v>
      </c>
      <c r="B202" s="11" t="s">
        <v>1235</v>
      </c>
      <c r="C202" s="2">
        <v>1168164.46</v>
      </c>
      <c r="D202" s="2">
        <v>812993.01</v>
      </c>
      <c r="E202" s="2">
        <v>355171.45</v>
      </c>
      <c r="F202" s="2">
        <v>36672.78</v>
      </c>
      <c r="G202" s="2">
        <v>318498.67</v>
      </c>
      <c r="H202" s="22">
        <v>30.4</v>
      </c>
      <c r="I202" s="2">
        <v>27.26</v>
      </c>
      <c r="J202" s="2">
        <v>1786</v>
      </c>
      <c r="K202" s="2">
        <v>1951.61</v>
      </c>
      <c r="L202" s="2">
        <v>58936.1</v>
      </c>
    </row>
    <row r="203" spans="1:12">
      <c r="A203" s="2" t="s">
        <v>84</v>
      </c>
      <c r="B203" s="11" t="s">
        <v>1235</v>
      </c>
      <c r="C203" s="2">
        <v>1778687.72</v>
      </c>
      <c r="D203" s="2">
        <v>965642.26</v>
      </c>
      <c r="E203" s="2">
        <v>813045.46</v>
      </c>
      <c r="F203" s="2">
        <v>171007.77</v>
      </c>
      <c r="G203" s="2">
        <v>642037.68999999994</v>
      </c>
      <c r="H203" s="22">
        <v>45.71</v>
      </c>
      <c r="I203" s="2">
        <v>36.1</v>
      </c>
      <c r="J203" s="2">
        <v>1439</v>
      </c>
      <c r="K203" s="2">
        <v>991.65</v>
      </c>
      <c r="L203" s="2">
        <v>43018.39</v>
      </c>
    </row>
    <row r="204" spans="1:12">
      <c r="A204" s="2" t="s">
        <v>66</v>
      </c>
      <c r="B204" s="11" t="s">
        <v>1235</v>
      </c>
      <c r="C204" s="2">
        <v>444396.34</v>
      </c>
      <c r="D204" s="2">
        <v>215223.4</v>
      </c>
      <c r="E204" s="2">
        <v>229172.94</v>
      </c>
      <c r="F204" s="2">
        <v>167010.07</v>
      </c>
      <c r="G204" s="2">
        <v>62162.87</v>
      </c>
      <c r="H204" s="22">
        <v>51.57</v>
      </c>
      <c r="I204" s="2">
        <v>13.99</v>
      </c>
      <c r="J204" s="2">
        <v>2067</v>
      </c>
      <c r="K204" s="2">
        <v>3159.46</v>
      </c>
      <c r="L204" s="2">
        <v>24722.32</v>
      </c>
    </row>
    <row r="205" spans="1:12">
      <c r="A205" s="2" t="s">
        <v>130</v>
      </c>
      <c r="B205" s="11" t="s">
        <v>1235</v>
      </c>
      <c r="C205" s="2">
        <v>1375157.6</v>
      </c>
      <c r="D205" s="2">
        <v>619119.21</v>
      </c>
      <c r="E205" s="2">
        <v>756038.39</v>
      </c>
      <c r="F205" s="2">
        <v>36432.06</v>
      </c>
      <c r="G205" s="2">
        <v>719606.33</v>
      </c>
      <c r="H205" s="22">
        <v>54.98</v>
      </c>
      <c r="I205" s="2">
        <v>52.33</v>
      </c>
      <c r="J205" s="2">
        <v>1799</v>
      </c>
      <c r="K205" s="2">
        <v>1152.5999999999999</v>
      </c>
      <c r="L205" s="2">
        <v>77014.899999999994</v>
      </c>
    </row>
    <row r="206" spans="1:12">
      <c r="A206" s="2" t="s">
        <v>95</v>
      </c>
      <c r="B206" s="11" t="s">
        <v>1235</v>
      </c>
      <c r="C206" s="2">
        <v>1621184.54</v>
      </c>
      <c r="D206" s="2">
        <v>988111.66</v>
      </c>
      <c r="E206" s="2">
        <v>633072.88</v>
      </c>
      <c r="F206" s="2">
        <v>133959.78</v>
      </c>
      <c r="G206" s="2">
        <v>499113.1</v>
      </c>
      <c r="H206" s="22">
        <v>39.049999999999997</v>
      </c>
      <c r="I206" s="2">
        <v>30.79</v>
      </c>
      <c r="J206" s="2">
        <v>896</v>
      </c>
      <c r="K206" s="2">
        <v>2149.9899999999998</v>
      </c>
      <c r="L206" s="2">
        <v>71689.509999999995</v>
      </c>
    </row>
    <row r="207" spans="1:12">
      <c r="A207" s="2" t="s">
        <v>59</v>
      </c>
      <c r="B207" s="11" t="s">
        <v>1235</v>
      </c>
      <c r="C207" s="2">
        <v>1713578.45</v>
      </c>
      <c r="D207" s="2">
        <v>962162.6</v>
      </c>
      <c r="E207" s="2">
        <v>751415.85</v>
      </c>
      <c r="F207" s="2">
        <v>45721.79</v>
      </c>
      <c r="G207" s="2">
        <v>705694.06</v>
      </c>
      <c r="H207" s="22">
        <v>43.85</v>
      </c>
      <c r="I207" s="2">
        <v>41.18</v>
      </c>
      <c r="J207" s="2">
        <v>425</v>
      </c>
      <c r="K207" s="2">
        <v>2246.08</v>
      </c>
      <c r="L207" s="2">
        <v>26752.35</v>
      </c>
    </row>
    <row r="208" spans="1:12">
      <c r="A208" s="2" t="s">
        <v>120</v>
      </c>
      <c r="B208" s="11" t="s">
        <v>1235</v>
      </c>
      <c r="C208" s="2">
        <v>1456639.23</v>
      </c>
      <c r="D208" s="2">
        <v>722903.02</v>
      </c>
      <c r="E208" s="2">
        <v>733736.21</v>
      </c>
      <c r="F208" s="2">
        <v>144499.37</v>
      </c>
      <c r="G208" s="2">
        <v>589236.84</v>
      </c>
      <c r="H208" s="22">
        <v>50.37</v>
      </c>
      <c r="I208" s="2">
        <v>40.450000000000003</v>
      </c>
      <c r="J208" s="2">
        <v>639</v>
      </c>
      <c r="K208" s="2">
        <v>878.72</v>
      </c>
      <c r="L208" s="2">
        <v>41347.85</v>
      </c>
    </row>
    <row r="209" spans="1:12">
      <c r="A209" s="2" t="s">
        <v>190</v>
      </c>
      <c r="B209" s="11" t="s">
        <v>1235</v>
      </c>
      <c r="C209" s="2">
        <v>583315.05000000005</v>
      </c>
      <c r="D209" s="2">
        <v>402796.11</v>
      </c>
      <c r="E209" s="2">
        <v>180518.94</v>
      </c>
      <c r="F209" s="2">
        <v>156175.35999999999</v>
      </c>
      <c r="G209" s="2">
        <v>24343.58</v>
      </c>
      <c r="H209" s="22">
        <v>30.95</v>
      </c>
      <c r="I209" s="2">
        <v>4.17</v>
      </c>
      <c r="J209" s="2">
        <v>2114</v>
      </c>
      <c r="K209" s="2">
        <v>1157.4000000000001</v>
      </c>
      <c r="L209" s="2">
        <v>29768.959999999999</v>
      </c>
    </row>
    <row r="210" spans="1:12">
      <c r="A210" s="2" t="s">
        <v>167</v>
      </c>
      <c r="B210" s="11" t="s">
        <v>1235</v>
      </c>
      <c r="C210" s="2">
        <v>524665.77</v>
      </c>
      <c r="D210" s="2">
        <v>340044.22</v>
      </c>
      <c r="E210" s="2">
        <v>184621.55</v>
      </c>
      <c r="F210" s="2">
        <v>34891.43</v>
      </c>
      <c r="G210" s="2">
        <v>149730.12</v>
      </c>
      <c r="H210" s="22">
        <v>35.19</v>
      </c>
      <c r="I210" s="2">
        <v>28.54</v>
      </c>
      <c r="J210" s="2">
        <v>1272</v>
      </c>
      <c r="K210" s="2">
        <v>1053.55</v>
      </c>
      <c r="L210" s="2">
        <v>18928.96</v>
      </c>
    </row>
    <row r="211" spans="1:12">
      <c r="A211" s="2" t="s">
        <v>73</v>
      </c>
      <c r="B211" s="11" t="s">
        <v>1235</v>
      </c>
      <c r="C211" s="4">
        <f>AVERAGEIFS(C:C, A:A, A2, B:B, B2)</f>
        <v>233070.01</v>
      </c>
      <c r="D211" s="2">
        <v>412299.81</v>
      </c>
      <c r="E211" s="2">
        <v>254472</v>
      </c>
      <c r="F211" s="2">
        <v>103745.82</v>
      </c>
      <c r="G211" s="2">
        <v>150726.18</v>
      </c>
      <c r="H211" s="22">
        <v>38.159999999999997</v>
      </c>
      <c r="I211" s="2">
        <v>22.61</v>
      </c>
      <c r="J211" s="2">
        <v>273</v>
      </c>
      <c r="K211" s="2">
        <v>318.70999999999998</v>
      </c>
      <c r="L211" s="2">
        <v>6223.82</v>
      </c>
    </row>
    <row r="212" spans="1:12">
      <c r="A212" s="3" t="s">
        <v>107</v>
      </c>
      <c r="B212" s="12" t="s">
        <v>1236</v>
      </c>
      <c r="C212" s="3">
        <v>288731.81</v>
      </c>
      <c r="D212" s="3">
        <v>150947.5</v>
      </c>
      <c r="E212" s="3">
        <v>137784.31</v>
      </c>
      <c r="F212" s="3">
        <v>97666.78</v>
      </c>
      <c r="G212" s="2">
        <v>40117.53</v>
      </c>
      <c r="H212" s="22">
        <v>47.72</v>
      </c>
      <c r="I212" s="3">
        <v>13.89</v>
      </c>
      <c r="J212" s="3">
        <v>1447</v>
      </c>
      <c r="K212" s="3">
        <v>2775.77</v>
      </c>
      <c r="L212" s="3">
        <v>6604.21</v>
      </c>
    </row>
    <row r="213" spans="1:12">
      <c r="A213" s="3" t="s">
        <v>84</v>
      </c>
      <c r="B213" s="12" t="s">
        <v>1236</v>
      </c>
      <c r="C213" s="3">
        <v>402016.29</v>
      </c>
      <c r="D213" s="3">
        <v>259797.4</v>
      </c>
      <c r="E213" s="3">
        <v>142218.89000000001</v>
      </c>
      <c r="F213" s="3">
        <v>162224.37</v>
      </c>
      <c r="G213" s="2">
        <v>20005.48</v>
      </c>
      <c r="H213" s="22">
        <v>35.380000000000003</v>
      </c>
      <c r="I213" s="3">
        <v>-4.9800000000000004</v>
      </c>
      <c r="J213" s="3">
        <v>579</v>
      </c>
      <c r="K213" s="3">
        <v>1720.08</v>
      </c>
      <c r="L213" s="3">
        <v>801.93</v>
      </c>
    </row>
    <row r="214" spans="1:12">
      <c r="A214" s="3" t="s">
        <v>66</v>
      </c>
      <c r="B214" s="12" t="s">
        <v>1236</v>
      </c>
      <c r="C214" s="3">
        <v>1874559.82</v>
      </c>
      <c r="D214" s="3">
        <v>1135631.06</v>
      </c>
      <c r="E214" s="3">
        <v>738928.76</v>
      </c>
      <c r="F214" s="3">
        <v>107247.03999999999</v>
      </c>
      <c r="G214" s="2">
        <v>631681.72</v>
      </c>
      <c r="H214" s="22">
        <v>39.42</v>
      </c>
      <c r="I214" s="3">
        <v>33.700000000000003</v>
      </c>
      <c r="J214" s="3">
        <v>1937</v>
      </c>
      <c r="K214" s="3">
        <v>2066.56</v>
      </c>
      <c r="L214" s="3">
        <v>67491.02</v>
      </c>
    </row>
    <row r="215" spans="1:12">
      <c r="A215" s="3" t="s">
        <v>130</v>
      </c>
      <c r="B215" s="12" t="s">
        <v>1236</v>
      </c>
      <c r="C215" s="3">
        <v>1828311.58</v>
      </c>
      <c r="D215" s="3">
        <v>1085395.57</v>
      </c>
      <c r="E215" s="3">
        <v>742916.01</v>
      </c>
      <c r="F215" s="3">
        <v>117615.11</v>
      </c>
      <c r="G215" s="2">
        <v>625300.9</v>
      </c>
      <c r="H215" s="22">
        <v>40.630000000000003</v>
      </c>
      <c r="I215" s="3">
        <v>34.200000000000003</v>
      </c>
      <c r="J215" s="3">
        <v>2209</v>
      </c>
      <c r="K215" s="3">
        <v>1830.05</v>
      </c>
      <c r="L215" s="3">
        <v>59078.27</v>
      </c>
    </row>
    <row r="216" spans="1:12">
      <c r="A216" s="3" t="s">
        <v>95</v>
      </c>
      <c r="B216" s="12" t="s">
        <v>1236</v>
      </c>
      <c r="C216" s="3">
        <v>613464.13</v>
      </c>
      <c r="D216" s="3">
        <v>339199.06</v>
      </c>
      <c r="E216" s="3">
        <v>274265.07</v>
      </c>
      <c r="F216" s="3">
        <v>118700.69</v>
      </c>
      <c r="G216" s="2">
        <v>155564.38</v>
      </c>
      <c r="H216" s="22">
        <v>44.71</v>
      </c>
      <c r="I216" s="3">
        <v>25.36</v>
      </c>
      <c r="J216" s="3">
        <v>1086</v>
      </c>
      <c r="K216" s="3">
        <v>2193.06</v>
      </c>
      <c r="L216" s="3">
        <v>41077.019999999997</v>
      </c>
    </row>
    <row r="217" spans="1:12">
      <c r="A217" s="3" t="s">
        <v>59</v>
      </c>
      <c r="B217" s="12" t="s">
        <v>1236</v>
      </c>
      <c r="C217" s="3">
        <v>1147580.92</v>
      </c>
      <c r="D217" s="3">
        <v>740557.88</v>
      </c>
      <c r="E217" s="3">
        <v>407023.04</v>
      </c>
      <c r="F217" s="3">
        <v>160406.17000000001</v>
      </c>
      <c r="G217" s="2">
        <v>246616.87</v>
      </c>
      <c r="H217" s="22">
        <v>35.47</v>
      </c>
      <c r="I217" s="3">
        <v>21.49</v>
      </c>
      <c r="J217" s="3">
        <v>1001</v>
      </c>
      <c r="K217" s="3">
        <v>372.16</v>
      </c>
      <c r="L217" s="3">
        <v>49429.73</v>
      </c>
    </row>
    <row r="218" spans="1:12">
      <c r="A218" s="3" t="s">
        <v>120</v>
      </c>
      <c r="B218" s="12" t="s">
        <v>1236</v>
      </c>
      <c r="C218" s="3">
        <v>883307.1</v>
      </c>
      <c r="D218" s="3">
        <v>444805.63</v>
      </c>
      <c r="E218" s="3">
        <v>438501.47</v>
      </c>
      <c r="F218" s="3">
        <v>68684.22</v>
      </c>
      <c r="G218" s="2">
        <v>369817.25</v>
      </c>
      <c r="H218" s="22">
        <v>49.64</v>
      </c>
      <c r="I218" s="3">
        <v>41.87</v>
      </c>
      <c r="J218" s="3">
        <v>662</v>
      </c>
      <c r="K218" s="3">
        <v>2736.51</v>
      </c>
      <c r="L218" s="3">
        <v>22208.48</v>
      </c>
    </row>
    <row r="219" spans="1:12">
      <c r="A219" s="3" t="s">
        <v>190</v>
      </c>
      <c r="B219" s="12" t="s">
        <v>1236</v>
      </c>
      <c r="C219" s="3">
        <v>1656080.26</v>
      </c>
      <c r="D219" s="3">
        <v>1098301.93</v>
      </c>
      <c r="E219" s="3">
        <v>557778.32999999996</v>
      </c>
      <c r="F219" s="3">
        <v>184162.09</v>
      </c>
      <c r="G219" s="2">
        <v>373616.24</v>
      </c>
      <c r="H219" s="22">
        <v>33.68</v>
      </c>
      <c r="I219" s="3">
        <v>22.56</v>
      </c>
      <c r="J219" s="3">
        <v>2518</v>
      </c>
      <c r="K219" s="3">
        <v>2625.17</v>
      </c>
      <c r="L219" s="3">
        <v>7933.51</v>
      </c>
    </row>
    <row r="220" spans="1:12">
      <c r="A220" s="3" t="s">
        <v>167</v>
      </c>
      <c r="B220" s="12" t="s">
        <v>1236</v>
      </c>
      <c r="C220" s="3">
        <v>646972.32999999996</v>
      </c>
      <c r="D220" s="3">
        <v>385418.09</v>
      </c>
      <c r="E220" s="3">
        <v>261554.24</v>
      </c>
      <c r="F220" s="3">
        <v>140030.04999999999</v>
      </c>
      <c r="G220" s="2">
        <v>121524.19</v>
      </c>
      <c r="H220" s="22">
        <v>40.43</v>
      </c>
      <c r="I220" s="3">
        <v>18.78</v>
      </c>
      <c r="J220" s="3">
        <v>551</v>
      </c>
      <c r="K220" s="3">
        <v>333.02</v>
      </c>
      <c r="L220" s="3">
        <v>6894.39</v>
      </c>
    </row>
    <row r="221" spans="1:12">
      <c r="A221" s="3" t="s">
        <v>73</v>
      </c>
      <c r="B221" s="12" t="s">
        <v>1236</v>
      </c>
      <c r="C221" s="3">
        <v>509123.63</v>
      </c>
      <c r="D221" s="3">
        <v>289833.88</v>
      </c>
      <c r="E221" s="3">
        <v>219289.75</v>
      </c>
      <c r="F221" s="3">
        <v>147607.06</v>
      </c>
      <c r="G221" s="2">
        <v>71682.69</v>
      </c>
      <c r="H221" s="22">
        <v>43.07</v>
      </c>
      <c r="I221" s="3">
        <v>14.08</v>
      </c>
      <c r="J221" s="3">
        <v>2894</v>
      </c>
      <c r="K221" s="3">
        <v>3390.57</v>
      </c>
      <c r="L221" s="3">
        <v>24514.81</v>
      </c>
    </row>
    <row r="222" spans="1:12">
      <c r="A222" s="2" t="s">
        <v>107</v>
      </c>
      <c r="B222" s="11" t="s">
        <v>1237</v>
      </c>
      <c r="C222" s="2">
        <v>499675.88</v>
      </c>
      <c r="D222" s="2">
        <v>261632.75</v>
      </c>
      <c r="E222" s="2">
        <v>238043.13</v>
      </c>
      <c r="F222" s="2">
        <v>186235.58</v>
      </c>
      <c r="G222" s="2">
        <v>51807.55</v>
      </c>
      <c r="H222" s="22">
        <v>47.64</v>
      </c>
      <c r="I222" s="2">
        <v>10.37</v>
      </c>
      <c r="J222" s="2">
        <v>2317</v>
      </c>
      <c r="K222" s="2">
        <v>3191.76</v>
      </c>
      <c r="L222" s="2">
        <v>18531.14</v>
      </c>
    </row>
    <row r="223" spans="1:12">
      <c r="A223" s="2" t="s">
        <v>84</v>
      </c>
      <c r="B223" s="11" t="s">
        <v>1237</v>
      </c>
      <c r="C223" s="2">
        <v>1068793.74</v>
      </c>
      <c r="D223" s="2">
        <v>614570.91</v>
      </c>
      <c r="E223" s="2">
        <v>454222.83</v>
      </c>
      <c r="F223" s="2">
        <v>62335.99</v>
      </c>
      <c r="G223" s="2">
        <v>391886.84</v>
      </c>
      <c r="H223" s="22">
        <v>42.5</v>
      </c>
      <c r="I223" s="2">
        <v>36.67</v>
      </c>
      <c r="J223" s="2">
        <v>2180</v>
      </c>
      <c r="K223" s="2">
        <v>2643.81</v>
      </c>
      <c r="L223" s="2">
        <v>44772.02</v>
      </c>
    </row>
    <row r="224" spans="1:12">
      <c r="A224" s="2" t="s">
        <v>66</v>
      </c>
      <c r="B224" s="11" t="s">
        <v>1237</v>
      </c>
      <c r="C224" s="2">
        <v>839553.01</v>
      </c>
      <c r="D224" s="2">
        <v>416794.21</v>
      </c>
      <c r="E224" s="2">
        <v>422758.8</v>
      </c>
      <c r="F224" s="2">
        <v>132777.45000000001</v>
      </c>
      <c r="G224" s="2">
        <v>289981.34999999998</v>
      </c>
      <c r="H224" s="22">
        <v>50.36</v>
      </c>
      <c r="I224" s="2">
        <v>34.54</v>
      </c>
      <c r="J224" s="2">
        <v>2567</v>
      </c>
      <c r="K224" s="2">
        <v>1894.1</v>
      </c>
      <c r="L224" s="2">
        <v>49091.24</v>
      </c>
    </row>
    <row r="225" spans="1:12">
      <c r="A225" s="2" t="s">
        <v>130</v>
      </c>
      <c r="B225" s="11" t="s">
        <v>1237</v>
      </c>
      <c r="C225" s="2">
        <v>1509981.36</v>
      </c>
      <c r="D225" s="2">
        <v>986121.89</v>
      </c>
      <c r="E225" s="2">
        <v>523859.47</v>
      </c>
      <c r="F225" s="2">
        <v>41916.949999999997</v>
      </c>
      <c r="G225" s="2">
        <v>481942.52</v>
      </c>
      <c r="H225" s="22">
        <v>34.69</v>
      </c>
      <c r="I225" s="2">
        <v>31.92</v>
      </c>
      <c r="J225" s="2">
        <v>1125</v>
      </c>
      <c r="K225" s="2">
        <v>310.58</v>
      </c>
      <c r="L225" s="2">
        <v>115260.54</v>
      </c>
    </row>
    <row r="226" spans="1:12">
      <c r="A226" s="2" t="s">
        <v>95</v>
      </c>
      <c r="B226" s="11" t="s">
        <v>1237</v>
      </c>
      <c r="C226" s="2">
        <v>702507.58</v>
      </c>
      <c r="D226" s="2">
        <v>444339.16</v>
      </c>
      <c r="E226" s="2">
        <v>258168.42</v>
      </c>
      <c r="F226" s="2">
        <v>155150.41</v>
      </c>
      <c r="G226" s="2">
        <v>103018.01</v>
      </c>
      <c r="H226" s="22">
        <v>36.75</v>
      </c>
      <c r="I226" s="2">
        <v>14.66</v>
      </c>
      <c r="J226" s="2">
        <v>1210</v>
      </c>
      <c r="K226" s="2">
        <v>1093.06</v>
      </c>
      <c r="L226" s="2">
        <v>24405.040000000001</v>
      </c>
    </row>
    <row r="227" spans="1:12">
      <c r="A227" s="2" t="s">
        <v>59</v>
      </c>
      <c r="B227" s="11" t="s">
        <v>1237</v>
      </c>
      <c r="C227" s="2">
        <v>1001824.55</v>
      </c>
      <c r="D227" s="2">
        <v>619016.81000000006</v>
      </c>
      <c r="E227" s="2">
        <v>382807.74</v>
      </c>
      <c r="F227" s="2">
        <v>44854.080000000002</v>
      </c>
      <c r="G227" s="2">
        <v>337953.66</v>
      </c>
      <c r="H227" s="22">
        <v>38.21</v>
      </c>
      <c r="I227" s="2">
        <v>33.729999999999997</v>
      </c>
      <c r="J227" s="2">
        <v>2296</v>
      </c>
      <c r="K227" s="2">
        <v>1562.16</v>
      </c>
      <c r="L227" s="2">
        <v>39308.82</v>
      </c>
    </row>
    <row r="228" spans="1:12">
      <c r="A228" s="2" t="s">
        <v>120</v>
      </c>
      <c r="B228" s="11" t="s">
        <v>1237</v>
      </c>
      <c r="C228" s="2">
        <v>1038623.05</v>
      </c>
      <c r="D228" s="2">
        <v>602330.63</v>
      </c>
      <c r="E228" s="2">
        <v>436292.42</v>
      </c>
      <c r="F228" s="2">
        <v>114288.72</v>
      </c>
      <c r="G228" s="2">
        <v>322003.7</v>
      </c>
      <c r="H228" s="22">
        <v>42.01</v>
      </c>
      <c r="I228" s="2">
        <v>31</v>
      </c>
      <c r="J228" s="2">
        <v>1679</v>
      </c>
      <c r="K228" s="2">
        <v>2555.14</v>
      </c>
      <c r="L228" s="2">
        <v>46292.02</v>
      </c>
    </row>
    <row r="229" spans="1:12">
      <c r="A229" s="2" t="s">
        <v>190</v>
      </c>
      <c r="B229" s="11" t="s">
        <v>1237</v>
      </c>
      <c r="C229" s="2">
        <v>561166.44999999995</v>
      </c>
      <c r="D229" s="2">
        <v>317407.90999999997</v>
      </c>
      <c r="E229" s="2">
        <v>243758.54</v>
      </c>
      <c r="F229" s="2">
        <v>70863.570000000007</v>
      </c>
      <c r="G229" s="2">
        <v>172894.97</v>
      </c>
      <c r="H229" s="22">
        <v>43.44</v>
      </c>
      <c r="I229" s="2">
        <v>30.81</v>
      </c>
      <c r="J229" s="2">
        <v>1429</v>
      </c>
      <c r="K229" s="2">
        <v>3001.19</v>
      </c>
      <c r="L229" s="2">
        <v>18417.939999999999</v>
      </c>
    </row>
    <row r="230" spans="1:12">
      <c r="A230" s="2" t="s">
        <v>167</v>
      </c>
      <c r="B230" s="11" t="s">
        <v>1237</v>
      </c>
      <c r="C230" s="2">
        <v>781842.76</v>
      </c>
      <c r="D230" s="2">
        <v>487288.1</v>
      </c>
      <c r="E230" s="2">
        <v>294554.65999999997</v>
      </c>
      <c r="F230" s="2">
        <v>146764.92000000001</v>
      </c>
      <c r="G230" s="2">
        <v>147789.74</v>
      </c>
      <c r="H230" s="22">
        <v>37.67</v>
      </c>
      <c r="I230" s="2">
        <v>18.899999999999999</v>
      </c>
      <c r="J230" s="2">
        <v>1770</v>
      </c>
      <c r="K230" s="2">
        <v>2567.0500000000002</v>
      </c>
      <c r="L230" s="2">
        <v>46041.41</v>
      </c>
    </row>
    <row r="231" spans="1:12">
      <c r="A231" s="2" t="s">
        <v>73</v>
      </c>
      <c r="B231" s="11" t="s">
        <v>1237</v>
      </c>
      <c r="C231" s="2">
        <v>1076100.49</v>
      </c>
      <c r="D231" s="2">
        <v>650637.09</v>
      </c>
      <c r="E231" s="2">
        <v>425463.4</v>
      </c>
      <c r="F231" s="2">
        <v>195566.72</v>
      </c>
      <c r="G231" s="2">
        <v>229896.68</v>
      </c>
      <c r="H231" s="22">
        <v>39.54</v>
      </c>
      <c r="I231" s="2">
        <v>21.36</v>
      </c>
      <c r="J231" s="4">
        <v>1753.8285714285714</v>
      </c>
      <c r="K231" s="2">
        <v>2510.12</v>
      </c>
      <c r="L231" s="2">
        <v>82914.97</v>
      </c>
    </row>
    <row r="232" spans="1:12">
      <c r="A232" s="3" t="s">
        <v>107</v>
      </c>
      <c r="B232" s="12" t="s">
        <v>1238</v>
      </c>
      <c r="C232" s="3">
        <v>1362982.71</v>
      </c>
      <c r="D232" s="3">
        <v>644159.53</v>
      </c>
      <c r="E232" s="3">
        <v>718823.18</v>
      </c>
      <c r="F232" s="3">
        <v>115111.82</v>
      </c>
      <c r="G232" s="2">
        <v>603711.36</v>
      </c>
      <c r="H232" s="22">
        <v>52.74</v>
      </c>
      <c r="I232" s="3">
        <v>44.29</v>
      </c>
      <c r="J232" s="3">
        <v>936</v>
      </c>
      <c r="K232" s="3">
        <v>2791.94</v>
      </c>
      <c r="L232" s="3">
        <v>102261.04</v>
      </c>
    </row>
    <row r="233" spans="1:12">
      <c r="A233" s="3" t="s">
        <v>84</v>
      </c>
      <c r="B233" s="12" t="s">
        <v>1238</v>
      </c>
      <c r="C233" s="3">
        <v>1595959.78</v>
      </c>
      <c r="D233" s="3">
        <v>775355.18</v>
      </c>
      <c r="E233" s="3">
        <v>820604.6</v>
      </c>
      <c r="F233" s="3">
        <v>178205.83</v>
      </c>
      <c r="G233" s="2">
        <v>642398.77</v>
      </c>
      <c r="H233" s="22">
        <v>51.42</v>
      </c>
      <c r="I233" s="3">
        <v>40.25</v>
      </c>
      <c r="J233" s="3">
        <v>2314</v>
      </c>
      <c r="K233" s="3">
        <v>2465.5</v>
      </c>
      <c r="L233" s="3">
        <v>16944.900000000001</v>
      </c>
    </row>
    <row r="234" spans="1:12">
      <c r="A234" s="3" t="s">
        <v>66</v>
      </c>
      <c r="B234" s="12" t="s">
        <v>1238</v>
      </c>
      <c r="C234" s="3">
        <v>1481834</v>
      </c>
      <c r="D234" s="3">
        <v>766571.42</v>
      </c>
      <c r="E234" s="3">
        <v>715262.58</v>
      </c>
      <c r="F234" s="3">
        <v>187515.96</v>
      </c>
      <c r="G234" s="2">
        <v>527746.62</v>
      </c>
      <c r="H234" s="22">
        <v>48.27</v>
      </c>
      <c r="I234" s="3">
        <v>35.61</v>
      </c>
      <c r="J234" s="3">
        <v>2560</v>
      </c>
      <c r="K234" s="3">
        <v>1474.3</v>
      </c>
      <c r="L234" s="3">
        <v>115966.37</v>
      </c>
    </row>
    <row r="235" spans="1:12">
      <c r="A235" s="3" t="s">
        <v>130</v>
      </c>
      <c r="B235" s="12" t="s">
        <v>1238</v>
      </c>
      <c r="C235" s="3">
        <v>1672357.99</v>
      </c>
      <c r="D235" s="3">
        <v>954107.97</v>
      </c>
      <c r="E235" s="3">
        <v>718250.02</v>
      </c>
      <c r="F235" s="3">
        <v>126431.46</v>
      </c>
      <c r="G235" s="2">
        <v>591818.56000000006</v>
      </c>
      <c r="H235" s="22">
        <v>42.95</v>
      </c>
      <c r="I235" s="3">
        <v>35.39</v>
      </c>
      <c r="J235" s="3">
        <v>1670</v>
      </c>
      <c r="K235" s="3">
        <v>1367.01</v>
      </c>
      <c r="L235" s="3">
        <v>40514.959999999999</v>
      </c>
    </row>
    <row r="236" spans="1:12">
      <c r="A236" s="3" t="s">
        <v>95</v>
      </c>
      <c r="B236" s="12" t="s">
        <v>1238</v>
      </c>
      <c r="C236" s="3">
        <v>600331.9</v>
      </c>
      <c r="D236" s="3">
        <v>409348.26</v>
      </c>
      <c r="E236" s="3">
        <v>190983.64</v>
      </c>
      <c r="F236" s="3">
        <v>190862.9</v>
      </c>
      <c r="G236" s="2">
        <v>120.74</v>
      </c>
      <c r="H236" s="22">
        <v>31.81</v>
      </c>
      <c r="I236" s="3">
        <v>0.02</v>
      </c>
      <c r="J236" s="3">
        <v>2549</v>
      </c>
      <c r="K236" s="3">
        <v>3174.41</v>
      </c>
      <c r="L236" s="3">
        <v>20064.14</v>
      </c>
    </row>
    <row r="237" spans="1:12">
      <c r="A237" s="3" t="s">
        <v>59</v>
      </c>
      <c r="B237" s="12" t="s">
        <v>1238</v>
      </c>
      <c r="C237" s="3">
        <v>1285709.3700000001</v>
      </c>
      <c r="D237" s="3">
        <v>742997.25</v>
      </c>
      <c r="E237" s="3">
        <v>542712.12</v>
      </c>
      <c r="F237" s="3">
        <v>39528.1</v>
      </c>
      <c r="G237" s="2">
        <v>503184.02</v>
      </c>
      <c r="H237" s="22">
        <v>42.21</v>
      </c>
      <c r="I237" s="3">
        <v>39.14</v>
      </c>
      <c r="J237" s="3">
        <v>2931</v>
      </c>
      <c r="K237" s="3">
        <v>1455.41</v>
      </c>
      <c r="L237" s="3">
        <v>15217.24</v>
      </c>
    </row>
    <row r="238" spans="1:12">
      <c r="A238" s="3" t="s">
        <v>120</v>
      </c>
      <c r="B238" s="12" t="s">
        <v>1238</v>
      </c>
      <c r="C238" s="3">
        <v>273095.40999999997</v>
      </c>
      <c r="D238" s="3">
        <v>145294.64000000001</v>
      </c>
      <c r="E238" s="3">
        <v>127800.77</v>
      </c>
      <c r="F238" s="3">
        <v>49672.84</v>
      </c>
      <c r="G238" s="2">
        <v>78127.929999999993</v>
      </c>
      <c r="H238" s="22">
        <v>46.8</v>
      </c>
      <c r="I238" s="3">
        <v>28.61</v>
      </c>
      <c r="J238" s="3">
        <v>1361</v>
      </c>
      <c r="K238" s="3">
        <v>1762.23</v>
      </c>
      <c r="L238" s="3">
        <v>16083.67</v>
      </c>
    </row>
    <row r="239" spans="1:12">
      <c r="A239" s="3" t="s">
        <v>190</v>
      </c>
      <c r="B239" s="12" t="s">
        <v>1238</v>
      </c>
      <c r="C239" s="3">
        <v>1748334.71</v>
      </c>
      <c r="D239" s="3">
        <v>1184994.08</v>
      </c>
      <c r="E239" s="3">
        <v>563340.63</v>
      </c>
      <c r="F239" s="3">
        <v>137767.67000000001</v>
      </c>
      <c r="G239" s="2">
        <v>425572.96</v>
      </c>
      <c r="H239" s="22">
        <v>32.22</v>
      </c>
      <c r="I239" s="3">
        <v>24.34</v>
      </c>
      <c r="J239" s="3">
        <v>1889</v>
      </c>
      <c r="K239" s="3">
        <v>1154.19</v>
      </c>
      <c r="L239" s="3">
        <v>40148</v>
      </c>
    </row>
    <row r="240" spans="1:12">
      <c r="A240" s="3" t="s">
        <v>167</v>
      </c>
      <c r="B240" s="12" t="s">
        <v>1238</v>
      </c>
      <c r="C240" s="3">
        <v>661206.06999999995</v>
      </c>
      <c r="D240" s="3">
        <v>313292.56</v>
      </c>
      <c r="E240" s="3">
        <v>347913.51</v>
      </c>
      <c r="F240" s="3">
        <v>39987.89</v>
      </c>
      <c r="G240" s="2">
        <v>307925.62</v>
      </c>
      <c r="H240" s="22">
        <v>52.62</v>
      </c>
      <c r="I240" s="3">
        <v>46.57</v>
      </c>
      <c r="J240" s="3">
        <v>1563</v>
      </c>
      <c r="K240" s="3">
        <v>3279.41</v>
      </c>
      <c r="L240" s="3">
        <v>24910.67</v>
      </c>
    </row>
    <row r="241" spans="1:12">
      <c r="A241" s="3" t="s">
        <v>73</v>
      </c>
      <c r="B241" s="12" t="s">
        <v>1238</v>
      </c>
      <c r="C241" s="3">
        <v>1415184.12</v>
      </c>
      <c r="D241" s="3">
        <v>921511.55</v>
      </c>
      <c r="E241" s="3">
        <v>493672.57</v>
      </c>
      <c r="F241" s="3">
        <v>44897.97</v>
      </c>
      <c r="G241" s="2">
        <v>448774.6</v>
      </c>
      <c r="H241" s="22">
        <v>34.880000000000003</v>
      </c>
      <c r="I241" s="3">
        <v>31.71</v>
      </c>
      <c r="J241" s="3">
        <v>753</v>
      </c>
      <c r="K241" s="3">
        <v>344.4</v>
      </c>
      <c r="L241" s="3">
        <v>12670.14</v>
      </c>
    </row>
    <row r="242" spans="1:12">
      <c r="A242" s="2" t="s">
        <v>107</v>
      </c>
      <c r="B242" s="11" t="s">
        <v>1239</v>
      </c>
      <c r="C242" s="2">
        <v>1453005.46</v>
      </c>
      <c r="D242" s="2">
        <v>703002.79</v>
      </c>
      <c r="E242" s="2">
        <v>750002.67</v>
      </c>
      <c r="F242" s="2">
        <v>100305.08</v>
      </c>
      <c r="G242" s="2">
        <v>649697.59</v>
      </c>
      <c r="H242" s="22">
        <v>51.617333220482188</v>
      </c>
      <c r="I242" s="2">
        <v>44.71</v>
      </c>
      <c r="J242" s="2">
        <v>2046</v>
      </c>
      <c r="K242" s="2">
        <v>379.72</v>
      </c>
      <c r="L242" s="2">
        <v>52736.05</v>
      </c>
    </row>
    <row r="243" spans="1:12">
      <c r="A243" s="2" t="s">
        <v>84</v>
      </c>
      <c r="B243" s="11" t="s">
        <v>1239</v>
      </c>
      <c r="C243" s="2">
        <v>1504227.14</v>
      </c>
      <c r="D243" s="2">
        <v>849650.82</v>
      </c>
      <c r="E243" s="2">
        <v>654576.31999999995</v>
      </c>
      <c r="F243" s="2">
        <v>151325.16</v>
      </c>
      <c r="G243" s="2">
        <v>503251.16</v>
      </c>
      <c r="H243" s="22">
        <v>43.52</v>
      </c>
      <c r="I243" s="2">
        <v>33.46</v>
      </c>
      <c r="J243" s="2">
        <v>2339</v>
      </c>
      <c r="K243" s="2">
        <v>670.68</v>
      </c>
      <c r="L243" s="2">
        <v>37422.92</v>
      </c>
    </row>
    <row r="244" spans="1:12">
      <c r="A244" s="2" t="s">
        <v>66</v>
      </c>
      <c r="B244" s="11" t="s">
        <v>1239</v>
      </c>
      <c r="C244" s="2">
        <v>1222669.24</v>
      </c>
      <c r="D244" s="2">
        <v>765660.71</v>
      </c>
      <c r="E244" s="2">
        <v>457008.53</v>
      </c>
      <c r="F244" s="2">
        <v>49237.94</v>
      </c>
      <c r="G244" s="2">
        <v>407770.59</v>
      </c>
      <c r="H244" s="22">
        <v>37.380000000000003</v>
      </c>
      <c r="I244" s="2">
        <v>33.35</v>
      </c>
      <c r="J244" s="2">
        <v>2172</v>
      </c>
      <c r="K244" s="2">
        <v>3377.56</v>
      </c>
      <c r="L244" s="2">
        <v>7831.26</v>
      </c>
    </row>
    <row r="245" spans="1:12">
      <c r="A245" s="2" t="s">
        <v>130</v>
      </c>
      <c r="B245" s="11" t="s">
        <v>1239</v>
      </c>
      <c r="C245" s="2">
        <v>299350.40999999997</v>
      </c>
      <c r="D245" s="2">
        <v>209321.96</v>
      </c>
      <c r="E245" s="2">
        <v>90028.45</v>
      </c>
      <c r="F245" s="2">
        <v>140002.65</v>
      </c>
      <c r="G245" s="2">
        <v>49974.2</v>
      </c>
      <c r="H245" s="22">
        <v>30.07</v>
      </c>
      <c r="I245" s="2">
        <v>-16.690000000000001</v>
      </c>
      <c r="J245" s="2">
        <v>1696</v>
      </c>
      <c r="K245" s="2">
        <v>2010.8</v>
      </c>
      <c r="L245" s="2">
        <v>23012.28</v>
      </c>
    </row>
    <row r="246" spans="1:12">
      <c r="A246" s="2" t="s">
        <v>95</v>
      </c>
      <c r="B246" s="11" t="s">
        <v>1239</v>
      </c>
      <c r="C246" s="2">
        <v>279603.55</v>
      </c>
      <c r="D246" s="2">
        <v>195112.5</v>
      </c>
      <c r="E246" s="2">
        <v>84491.05</v>
      </c>
      <c r="F246" s="2">
        <v>154690.97</v>
      </c>
      <c r="G246" s="2">
        <v>70199.92</v>
      </c>
      <c r="H246" s="22">
        <v>30.22</v>
      </c>
      <c r="I246" s="2">
        <v>-25.11</v>
      </c>
      <c r="J246" s="2">
        <v>2265</v>
      </c>
      <c r="K246" s="2">
        <v>407.59</v>
      </c>
      <c r="L246" s="2">
        <v>11880.28</v>
      </c>
    </row>
    <row r="247" spans="1:12">
      <c r="A247" s="2" t="s">
        <v>59</v>
      </c>
      <c r="B247" s="11" t="s">
        <v>1239</v>
      </c>
      <c r="C247" s="2">
        <v>1736847.33</v>
      </c>
      <c r="D247" s="2">
        <v>942079</v>
      </c>
      <c r="E247" s="2">
        <v>794768.33</v>
      </c>
      <c r="F247" s="2">
        <v>93381.3</v>
      </c>
      <c r="G247" s="2">
        <v>701387.03</v>
      </c>
      <c r="H247" s="22">
        <v>45.76</v>
      </c>
      <c r="I247" s="2">
        <v>40.380000000000003</v>
      </c>
      <c r="J247" s="2">
        <v>1365</v>
      </c>
      <c r="K247" s="2">
        <v>1403.74</v>
      </c>
      <c r="L247" s="2">
        <v>42807.78</v>
      </c>
    </row>
    <row r="248" spans="1:12">
      <c r="A248" s="2" t="s">
        <v>120</v>
      </c>
      <c r="B248" s="11" t="s">
        <v>1239</v>
      </c>
      <c r="C248" s="2">
        <v>1436683.8</v>
      </c>
      <c r="D248" s="2">
        <v>948602.87</v>
      </c>
      <c r="E248" s="2">
        <v>488080.93</v>
      </c>
      <c r="F248" s="2">
        <v>68398.48</v>
      </c>
      <c r="G248" s="2">
        <v>419682.45</v>
      </c>
      <c r="H248" s="22">
        <v>33.97</v>
      </c>
      <c r="I248" s="2">
        <v>29.21</v>
      </c>
      <c r="J248" s="2">
        <v>1868</v>
      </c>
      <c r="K248" s="2">
        <v>1229.8900000000001</v>
      </c>
      <c r="L248" s="2">
        <v>98311.2</v>
      </c>
    </row>
    <row r="249" spans="1:12">
      <c r="A249" s="2" t="s">
        <v>190</v>
      </c>
      <c r="B249" s="11" t="s">
        <v>1239</v>
      </c>
      <c r="C249" s="2">
        <v>489051.76</v>
      </c>
      <c r="D249" s="2">
        <v>304050.19</v>
      </c>
      <c r="E249" s="2">
        <v>185001.57</v>
      </c>
      <c r="F249" s="2">
        <v>70142.070000000007</v>
      </c>
      <c r="G249" s="2">
        <v>114859.5</v>
      </c>
      <c r="H249" s="22">
        <v>37.83</v>
      </c>
      <c r="I249" s="2">
        <v>23.49</v>
      </c>
      <c r="J249" s="2">
        <v>1176</v>
      </c>
      <c r="K249" s="2">
        <v>663.39</v>
      </c>
      <c r="L249" s="2">
        <v>7508.55</v>
      </c>
    </row>
    <row r="250" spans="1:12">
      <c r="A250" s="2" t="s">
        <v>167</v>
      </c>
      <c r="B250" s="11" t="s">
        <v>1239</v>
      </c>
      <c r="C250" s="2">
        <v>837743.03</v>
      </c>
      <c r="D250" s="2">
        <v>503980.86</v>
      </c>
      <c r="E250" s="2">
        <v>333762.17</v>
      </c>
      <c r="F250" s="2">
        <v>144034.56</v>
      </c>
      <c r="G250" s="2">
        <v>189727.61</v>
      </c>
      <c r="H250" s="22">
        <v>39.840000000000003</v>
      </c>
      <c r="I250" s="2">
        <v>22.65</v>
      </c>
      <c r="J250" s="2">
        <v>2650</v>
      </c>
      <c r="K250" s="2">
        <v>2570.61</v>
      </c>
      <c r="L250" s="2">
        <v>54275.89</v>
      </c>
    </row>
    <row r="251" spans="1:12">
      <c r="A251" s="2" t="s">
        <v>73</v>
      </c>
      <c r="B251" s="11" t="s">
        <v>1239</v>
      </c>
      <c r="C251" s="2">
        <v>228593.44</v>
      </c>
      <c r="D251" s="2">
        <v>158330.70000000001</v>
      </c>
      <c r="E251" s="2">
        <v>70262.740000000005</v>
      </c>
      <c r="F251" s="2">
        <v>176032.05</v>
      </c>
      <c r="G251" s="2">
        <v>105769.31</v>
      </c>
      <c r="H251" s="22">
        <v>30.74</v>
      </c>
      <c r="I251" s="2">
        <v>-46.27</v>
      </c>
      <c r="J251" s="2">
        <v>1057</v>
      </c>
      <c r="K251" s="2">
        <v>1839.58</v>
      </c>
      <c r="L251" s="2">
        <v>2654.5</v>
      </c>
    </row>
    <row r="252" spans="1:12">
      <c r="A252" s="3" t="s">
        <v>107</v>
      </c>
      <c r="B252" s="12" t="s">
        <v>1240</v>
      </c>
      <c r="C252" s="3">
        <v>1813911.51</v>
      </c>
      <c r="D252" s="3">
        <v>1222483.3500000001</v>
      </c>
      <c r="E252" s="3">
        <v>591428.16</v>
      </c>
      <c r="F252" s="3">
        <v>180033.24</v>
      </c>
      <c r="G252" s="2">
        <v>411394.92</v>
      </c>
      <c r="H252" s="22">
        <v>32.61</v>
      </c>
      <c r="I252" s="3">
        <v>22.68</v>
      </c>
      <c r="J252" s="3">
        <v>569</v>
      </c>
      <c r="K252" s="3">
        <v>1100.26</v>
      </c>
      <c r="L252" s="3">
        <v>100377.14</v>
      </c>
    </row>
    <row r="253" spans="1:12">
      <c r="A253" s="3" t="s">
        <v>84</v>
      </c>
      <c r="B253" s="12" t="s">
        <v>1240</v>
      </c>
      <c r="C253" s="3">
        <v>279253.93</v>
      </c>
      <c r="D253" s="3">
        <v>184874.76</v>
      </c>
      <c r="E253" s="3">
        <v>94379.17</v>
      </c>
      <c r="F253" s="3">
        <v>178218.77</v>
      </c>
      <c r="G253" s="2">
        <v>83839.600000000006</v>
      </c>
      <c r="H253" s="22">
        <v>33.799999999999997</v>
      </c>
      <c r="I253" s="3">
        <v>-30.02</v>
      </c>
      <c r="J253" s="3">
        <v>1565</v>
      </c>
      <c r="K253" s="3">
        <v>1794</v>
      </c>
      <c r="L253" s="3">
        <v>1030.78</v>
      </c>
    </row>
    <row r="254" spans="1:12">
      <c r="A254" s="3" t="s">
        <v>66</v>
      </c>
      <c r="B254" s="12" t="s">
        <v>1240</v>
      </c>
      <c r="C254" s="3">
        <v>1514333.85</v>
      </c>
      <c r="D254" s="3">
        <v>880739.62</v>
      </c>
      <c r="E254" s="3">
        <v>633594.23</v>
      </c>
      <c r="F254" s="3">
        <v>176089.61</v>
      </c>
      <c r="G254" s="2">
        <v>457504.62</v>
      </c>
      <c r="H254" s="22">
        <v>41.84</v>
      </c>
      <c r="I254" s="3">
        <v>30.21</v>
      </c>
      <c r="J254" s="3">
        <v>1344</v>
      </c>
      <c r="K254" s="3">
        <v>1787.8</v>
      </c>
      <c r="L254" s="3">
        <v>9477.86</v>
      </c>
    </row>
    <row r="255" spans="1:12">
      <c r="A255" s="3" t="s">
        <v>130</v>
      </c>
      <c r="B255" s="12" t="s">
        <v>1240</v>
      </c>
      <c r="C255" s="3">
        <v>344822.21</v>
      </c>
      <c r="D255" s="3">
        <v>194793.46</v>
      </c>
      <c r="E255" s="3">
        <v>150028.75</v>
      </c>
      <c r="F255" s="3">
        <v>160306.38</v>
      </c>
      <c r="G255" s="2">
        <v>10277.629999999999</v>
      </c>
      <c r="H255" s="22">
        <v>43.51</v>
      </c>
      <c r="I255" s="3">
        <v>-2.98</v>
      </c>
      <c r="J255" s="4">
        <v>1720.3142857142857</v>
      </c>
      <c r="K255" s="3">
        <v>949.99</v>
      </c>
      <c r="L255" s="3">
        <v>15295.64</v>
      </c>
    </row>
    <row r="256" spans="1:12">
      <c r="A256" s="3" t="s">
        <v>95</v>
      </c>
      <c r="B256" s="12" t="s">
        <v>1240</v>
      </c>
      <c r="C256" s="3">
        <v>1062684.81</v>
      </c>
      <c r="D256" s="3">
        <v>690218.44</v>
      </c>
      <c r="E256" s="3">
        <v>372466.37</v>
      </c>
      <c r="F256" s="3">
        <v>169619.52</v>
      </c>
      <c r="G256" s="2">
        <v>202846.85</v>
      </c>
      <c r="H256" s="22">
        <v>35.049999999999997</v>
      </c>
      <c r="I256" s="3">
        <v>19.09</v>
      </c>
      <c r="J256" s="3">
        <v>2053</v>
      </c>
      <c r="K256" s="3">
        <v>1884.91</v>
      </c>
      <c r="L256" s="3">
        <v>7064.01</v>
      </c>
    </row>
    <row r="257" spans="1:12">
      <c r="A257" s="3" t="s">
        <v>59</v>
      </c>
      <c r="B257" s="12" t="s">
        <v>1240</v>
      </c>
      <c r="C257" s="3">
        <v>1002036.87</v>
      </c>
      <c r="D257" s="3">
        <v>591460.53</v>
      </c>
      <c r="E257" s="3">
        <v>410576.34</v>
      </c>
      <c r="F257" s="3">
        <v>66668.179999999993</v>
      </c>
      <c r="G257" s="2">
        <v>343908.16</v>
      </c>
      <c r="H257" s="22">
        <v>40.97</v>
      </c>
      <c r="I257" s="3">
        <v>34.32</v>
      </c>
      <c r="J257" s="3">
        <v>2019</v>
      </c>
      <c r="K257" s="3">
        <v>2672.89</v>
      </c>
      <c r="L257" s="3">
        <v>33316.51</v>
      </c>
    </row>
    <row r="258" spans="1:12">
      <c r="A258" s="3" t="s">
        <v>120</v>
      </c>
      <c r="B258" s="12" t="s">
        <v>1240</v>
      </c>
      <c r="C258" s="4">
        <f>AVERAGEIFS(C:C, A:A, A2, B:B, B2)</f>
        <v>233070.01</v>
      </c>
      <c r="D258" s="3">
        <v>252309.82</v>
      </c>
      <c r="E258" s="3">
        <v>287503.15000000002</v>
      </c>
      <c r="F258" s="3">
        <v>172979.91</v>
      </c>
      <c r="G258" s="2">
        <v>114523.24</v>
      </c>
      <c r="H258" s="22">
        <v>53.26</v>
      </c>
      <c r="I258" s="3">
        <v>21.22</v>
      </c>
      <c r="J258" s="3">
        <v>2148</v>
      </c>
      <c r="K258" s="3">
        <v>3305.06</v>
      </c>
      <c r="L258" s="3">
        <v>15867.97</v>
      </c>
    </row>
    <row r="259" spans="1:12">
      <c r="A259" s="3" t="s">
        <v>190</v>
      </c>
      <c r="B259" s="12" t="s">
        <v>1240</v>
      </c>
      <c r="C259" s="3">
        <v>642055.9</v>
      </c>
      <c r="D259" s="3">
        <v>421706.94</v>
      </c>
      <c r="E259" s="3">
        <v>220348.96</v>
      </c>
      <c r="F259" s="3">
        <v>108907.15</v>
      </c>
      <c r="G259" s="2">
        <v>111441.81</v>
      </c>
      <c r="H259" s="22">
        <v>34.32</v>
      </c>
      <c r="I259" s="3">
        <v>17.36</v>
      </c>
      <c r="J259" s="3">
        <v>2493</v>
      </c>
      <c r="K259" s="3">
        <v>3472.14</v>
      </c>
      <c r="L259" s="3">
        <v>21676.79</v>
      </c>
    </row>
    <row r="260" spans="1:12">
      <c r="A260" s="3" t="s">
        <v>167</v>
      </c>
      <c r="B260" s="12" t="s">
        <v>1240</v>
      </c>
      <c r="C260" s="3">
        <v>209649.77</v>
      </c>
      <c r="D260" s="3">
        <v>120786.67</v>
      </c>
      <c r="E260" s="3">
        <v>88863.1</v>
      </c>
      <c r="F260" s="3">
        <v>94759.4</v>
      </c>
      <c r="G260" s="2">
        <v>5896.3</v>
      </c>
      <c r="H260" s="22">
        <v>42.39</v>
      </c>
      <c r="I260" s="3">
        <v>-2.81</v>
      </c>
      <c r="J260" s="3">
        <v>1816</v>
      </c>
      <c r="K260" s="3">
        <v>2448.04</v>
      </c>
      <c r="L260" s="3">
        <v>2217.9</v>
      </c>
    </row>
    <row r="261" spans="1:12">
      <c r="A261" s="3" t="s">
        <v>73</v>
      </c>
      <c r="B261" s="12" t="s">
        <v>1240</v>
      </c>
      <c r="C261" s="3">
        <v>635204.39</v>
      </c>
      <c r="D261" s="3">
        <v>419566.75</v>
      </c>
      <c r="E261" s="3">
        <v>215637.64</v>
      </c>
      <c r="F261" s="3">
        <v>175892.19</v>
      </c>
      <c r="G261" s="2">
        <v>39745.449999999997</v>
      </c>
      <c r="H261" s="22">
        <v>33.950000000000003</v>
      </c>
      <c r="I261" s="3">
        <v>6.26</v>
      </c>
      <c r="J261" s="3">
        <v>2406</v>
      </c>
      <c r="K261" s="3">
        <v>910.93</v>
      </c>
      <c r="L261" s="3">
        <v>15291.55</v>
      </c>
    </row>
    <row r="262" spans="1:12">
      <c r="A262" s="2" t="s">
        <v>107</v>
      </c>
      <c r="B262" s="11" t="s">
        <v>1241</v>
      </c>
      <c r="C262" s="2">
        <v>1832892.43</v>
      </c>
      <c r="D262" s="2">
        <v>1189769.99</v>
      </c>
      <c r="E262" s="2">
        <v>643122.43999999994</v>
      </c>
      <c r="F262" s="2">
        <v>152123.70000000001</v>
      </c>
      <c r="G262" s="2">
        <v>490998.74</v>
      </c>
      <c r="H262" s="22">
        <v>35.090000000000003</v>
      </c>
      <c r="I262" s="2">
        <v>26.79</v>
      </c>
      <c r="J262" s="2">
        <v>706</v>
      </c>
      <c r="K262" s="2">
        <v>591.80999999999995</v>
      </c>
      <c r="L262" s="2">
        <v>103555.01</v>
      </c>
    </row>
    <row r="263" spans="1:12">
      <c r="A263" s="2" t="s">
        <v>84</v>
      </c>
      <c r="B263" s="11" t="s">
        <v>1241</v>
      </c>
      <c r="C263" s="2">
        <v>1137039.8799999999</v>
      </c>
      <c r="D263" s="2">
        <v>698990.8</v>
      </c>
      <c r="E263" s="2">
        <v>438049.08</v>
      </c>
      <c r="F263" s="2">
        <v>83121.740000000005</v>
      </c>
      <c r="G263" s="2">
        <v>354927.34</v>
      </c>
      <c r="H263" s="22">
        <v>38.53</v>
      </c>
      <c r="I263" s="2">
        <v>31.22</v>
      </c>
      <c r="J263" s="2">
        <v>2565</v>
      </c>
      <c r="K263" s="2">
        <v>2727.18</v>
      </c>
      <c r="L263" s="2">
        <v>58111.91</v>
      </c>
    </row>
    <row r="264" spans="1:12">
      <c r="A264" s="2" t="s">
        <v>66</v>
      </c>
      <c r="B264" s="11" t="s">
        <v>1241</v>
      </c>
      <c r="C264" s="2">
        <v>1801847.86</v>
      </c>
      <c r="D264" s="2">
        <v>850673.25</v>
      </c>
      <c r="E264" s="2">
        <v>951174.61</v>
      </c>
      <c r="F264" s="2">
        <v>110316.77</v>
      </c>
      <c r="G264" s="2">
        <v>840857.84</v>
      </c>
      <c r="H264" s="22">
        <v>52.79</v>
      </c>
      <c r="I264" s="2">
        <v>46.67</v>
      </c>
      <c r="J264" s="2">
        <v>2918</v>
      </c>
      <c r="K264" s="2">
        <v>3373.32</v>
      </c>
      <c r="L264" s="2">
        <v>11255.34</v>
      </c>
    </row>
    <row r="265" spans="1:12">
      <c r="A265" s="2" t="s">
        <v>130</v>
      </c>
      <c r="B265" s="11" t="s">
        <v>1241</v>
      </c>
      <c r="C265" s="2">
        <v>1941523.33</v>
      </c>
      <c r="D265" s="2">
        <v>1194393.1599999999</v>
      </c>
      <c r="E265" s="2">
        <v>747130.17</v>
      </c>
      <c r="F265" s="2">
        <v>80807.960000000006</v>
      </c>
      <c r="G265" s="2">
        <v>666322.21</v>
      </c>
      <c r="H265" s="22">
        <v>38.479999999999997</v>
      </c>
      <c r="I265" s="2">
        <v>34.32</v>
      </c>
      <c r="J265" s="2">
        <v>1797</v>
      </c>
      <c r="K265" s="2">
        <v>3168.67</v>
      </c>
      <c r="L265" s="2">
        <v>97948.62</v>
      </c>
    </row>
    <row r="266" spans="1:12">
      <c r="A266" s="2" t="s">
        <v>95</v>
      </c>
      <c r="B266" s="11" t="s">
        <v>1241</v>
      </c>
      <c r="C266" s="2">
        <v>1555541.65</v>
      </c>
      <c r="D266" s="2">
        <v>969553.49</v>
      </c>
      <c r="E266" s="2">
        <v>585988.16</v>
      </c>
      <c r="F266" s="2">
        <v>99125.07</v>
      </c>
      <c r="G266" s="2">
        <v>486863.09</v>
      </c>
      <c r="H266" s="22">
        <v>37.67</v>
      </c>
      <c r="I266" s="2">
        <v>31.3</v>
      </c>
      <c r="J266" s="2">
        <v>1092</v>
      </c>
      <c r="K266" s="2">
        <v>724.68</v>
      </c>
      <c r="L266" s="2">
        <v>36809.15</v>
      </c>
    </row>
    <row r="267" spans="1:12">
      <c r="A267" s="2" t="s">
        <v>59</v>
      </c>
      <c r="B267" s="11" t="s">
        <v>1241</v>
      </c>
      <c r="C267" s="2">
        <v>996507.85</v>
      </c>
      <c r="D267" s="2">
        <v>489233.12</v>
      </c>
      <c r="E267" s="2">
        <v>507274.73</v>
      </c>
      <c r="F267" s="2">
        <v>153760.10999999999</v>
      </c>
      <c r="G267" s="2">
        <v>353514.62</v>
      </c>
      <c r="H267" s="22">
        <v>50.91</v>
      </c>
      <c r="I267" s="2">
        <v>35.479999999999997</v>
      </c>
      <c r="J267" s="2">
        <v>1936</v>
      </c>
      <c r="K267" s="2">
        <v>2631.54</v>
      </c>
      <c r="L267" s="2">
        <v>33019.79</v>
      </c>
    </row>
    <row r="268" spans="1:12">
      <c r="A268" s="2" t="s">
        <v>120</v>
      </c>
      <c r="B268" s="11" t="s">
        <v>1241</v>
      </c>
      <c r="C268" s="2">
        <v>223014.52</v>
      </c>
      <c r="D268" s="2">
        <v>137943.34</v>
      </c>
      <c r="E268" s="2">
        <v>85071.18</v>
      </c>
      <c r="F268" s="2">
        <v>144256.23000000001</v>
      </c>
      <c r="G268" s="2">
        <v>59185.05</v>
      </c>
      <c r="H268" s="22">
        <v>38.15</v>
      </c>
      <c r="I268" s="2">
        <v>-26.54</v>
      </c>
      <c r="J268" s="2">
        <v>1823</v>
      </c>
      <c r="K268" s="2">
        <v>1701.79</v>
      </c>
      <c r="L268" s="2">
        <v>11749.27</v>
      </c>
    </row>
    <row r="269" spans="1:12">
      <c r="A269" s="2" t="s">
        <v>190</v>
      </c>
      <c r="B269" s="11" t="s">
        <v>1241</v>
      </c>
      <c r="C269" s="2">
        <v>1830180.12</v>
      </c>
      <c r="D269" s="2">
        <v>916000.81</v>
      </c>
      <c r="E269" s="2">
        <v>914179.31</v>
      </c>
      <c r="F269" s="2">
        <v>76361.03</v>
      </c>
      <c r="G269" s="2">
        <v>837818.28</v>
      </c>
      <c r="H269" s="22">
        <v>49.95</v>
      </c>
      <c r="I269" s="2">
        <v>45.78</v>
      </c>
      <c r="J269" s="2">
        <v>319</v>
      </c>
      <c r="K269" s="2">
        <v>1126.8699999999999</v>
      </c>
      <c r="L269" s="2">
        <v>117649.57</v>
      </c>
    </row>
    <row r="270" spans="1:12">
      <c r="A270" s="2" t="s">
        <v>167</v>
      </c>
      <c r="B270" s="11" t="s">
        <v>1241</v>
      </c>
      <c r="C270" s="2">
        <v>1806006.71</v>
      </c>
      <c r="D270" s="2">
        <v>831271.02</v>
      </c>
      <c r="E270" s="2">
        <v>974735.69</v>
      </c>
      <c r="F270" s="2">
        <v>60493.279999999999</v>
      </c>
      <c r="G270" s="2">
        <v>914242.41</v>
      </c>
      <c r="H270" s="22">
        <v>53.97</v>
      </c>
      <c r="I270" s="2">
        <v>50.62</v>
      </c>
      <c r="J270" s="2">
        <v>895</v>
      </c>
      <c r="K270" s="2">
        <v>1911.99</v>
      </c>
      <c r="L270" s="2">
        <v>134414.14000000001</v>
      </c>
    </row>
    <row r="271" spans="1:12">
      <c r="A271" s="2" t="s">
        <v>73</v>
      </c>
      <c r="B271" s="11" t="s">
        <v>1241</v>
      </c>
      <c r="C271" s="2">
        <v>1034166</v>
      </c>
      <c r="D271" s="2">
        <v>587920.55000000005</v>
      </c>
      <c r="E271" s="2">
        <v>446245.45</v>
      </c>
      <c r="F271" s="2">
        <v>33708.86</v>
      </c>
      <c r="G271" s="2">
        <v>412536.59</v>
      </c>
      <c r="H271" s="22">
        <v>43.15</v>
      </c>
      <c r="I271" s="2">
        <v>39.89</v>
      </c>
      <c r="J271" s="2">
        <v>880</v>
      </c>
      <c r="K271" s="2">
        <v>3187.73</v>
      </c>
      <c r="L271" s="2">
        <v>61121.79</v>
      </c>
    </row>
    <row r="272" spans="1:12">
      <c r="A272" s="3" t="s">
        <v>107</v>
      </c>
      <c r="B272" s="12" t="s">
        <v>1242</v>
      </c>
      <c r="C272" s="3">
        <v>1341330.3500000001</v>
      </c>
      <c r="D272" s="3">
        <v>632204.72</v>
      </c>
      <c r="E272" s="3">
        <v>709125.63</v>
      </c>
      <c r="F272" s="3">
        <v>150237.45000000001</v>
      </c>
      <c r="G272" s="2">
        <v>558888.18000000005</v>
      </c>
      <c r="H272" s="22">
        <v>52.87</v>
      </c>
      <c r="I272" s="3">
        <v>41.67</v>
      </c>
      <c r="J272" s="3">
        <v>2295</v>
      </c>
      <c r="K272" s="3">
        <v>2258.63</v>
      </c>
      <c r="L272" s="3">
        <v>17158.259999999998</v>
      </c>
    </row>
    <row r="273" spans="1:12">
      <c r="A273" s="3" t="s">
        <v>84</v>
      </c>
      <c r="B273" s="12" t="s">
        <v>1242</v>
      </c>
      <c r="C273" s="3">
        <v>577722.24</v>
      </c>
      <c r="D273" s="3">
        <v>288941.34999999998</v>
      </c>
      <c r="E273" s="3">
        <v>288780.89</v>
      </c>
      <c r="F273" s="3">
        <v>78716.45</v>
      </c>
      <c r="G273" s="2">
        <v>210064.44</v>
      </c>
      <c r="H273" s="22">
        <v>49.99</v>
      </c>
      <c r="I273" s="3">
        <v>36.36</v>
      </c>
      <c r="J273" s="3">
        <v>2380</v>
      </c>
      <c r="K273" s="3">
        <v>1321.28</v>
      </c>
      <c r="L273" s="3">
        <v>20387.38</v>
      </c>
    </row>
    <row r="274" spans="1:12">
      <c r="A274" s="3" t="s">
        <v>66</v>
      </c>
      <c r="B274" s="12" t="s">
        <v>1242</v>
      </c>
      <c r="C274" s="3">
        <v>1340637.8</v>
      </c>
      <c r="D274" s="3">
        <v>870777.18</v>
      </c>
      <c r="E274" s="3">
        <v>469860.62</v>
      </c>
      <c r="F274" s="3">
        <v>83124.95</v>
      </c>
      <c r="G274" s="2">
        <v>386735.67</v>
      </c>
      <c r="H274" s="22">
        <v>35.049999999999997</v>
      </c>
      <c r="I274" s="3">
        <v>28.85</v>
      </c>
      <c r="J274" s="3">
        <v>416</v>
      </c>
      <c r="K274" s="3">
        <v>3191.47</v>
      </c>
      <c r="L274" s="3">
        <v>57382.87</v>
      </c>
    </row>
    <row r="275" spans="1:12">
      <c r="A275" s="3" t="s">
        <v>130</v>
      </c>
      <c r="B275" s="12" t="s">
        <v>1242</v>
      </c>
      <c r="C275" s="3">
        <v>846670.02</v>
      </c>
      <c r="D275" s="3">
        <v>398964.14</v>
      </c>
      <c r="E275" s="3">
        <v>447705.88</v>
      </c>
      <c r="F275" s="3">
        <v>137574.51999999999</v>
      </c>
      <c r="G275" s="2">
        <v>310131.36</v>
      </c>
      <c r="H275" s="22">
        <v>52.88</v>
      </c>
      <c r="I275" s="3">
        <v>36.630000000000003</v>
      </c>
      <c r="J275" s="3">
        <v>976</v>
      </c>
      <c r="K275" s="3">
        <v>747.82</v>
      </c>
      <c r="L275" s="3">
        <v>13078.87</v>
      </c>
    </row>
    <row r="276" spans="1:12">
      <c r="A276" s="3" t="s">
        <v>95</v>
      </c>
      <c r="B276" s="12" t="s">
        <v>1242</v>
      </c>
      <c r="C276" s="3">
        <v>1365752.36</v>
      </c>
      <c r="D276" s="3">
        <v>645567.06999999995</v>
      </c>
      <c r="E276" s="3">
        <v>720185.29</v>
      </c>
      <c r="F276" s="3">
        <v>111563.1</v>
      </c>
      <c r="G276" s="2">
        <v>608622.18999999994</v>
      </c>
      <c r="H276" s="22">
        <v>52.73</v>
      </c>
      <c r="I276" s="3">
        <v>44.56</v>
      </c>
      <c r="J276" s="3">
        <v>1448</v>
      </c>
      <c r="K276" s="3">
        <v>817.77</v>
      </c>
      <c r="L276" s="3">
        <v>50181.33</v>
      </c>
    </row>
    <row r="277" spans="1:12">
      <c r="A277" s="3" t="s">
        <v>59</v>
      </c>
      <c r="B277" s="12" t="s">
        <v>1242</v>
      </c>
      <c r="C277" s="3">
        <v>1703920.76</v>
      </c>
      <c r="D277" s="3">
        <v>1021473.11</v>
      </c>
      <c r="E277" s="3">
        <v>682447.65</v>
      </c>
      <c r="F277" s="3">
        <v>54418.68</v>
      </c>
      <c r="G277" s="2">
        <v>628028.97</v>
      </c>
      <c r="H277" s="22">
        <v>40.049999999999997</v>
      </c>
      <c r="I277" s="3">
        <v>36.86</v>
      </c>
      <c r="J277" s="3">
        <v>1442</v>
      </c>
      <c r="K277" s="3">
        <v>1818.76</v>
      </c>
      <c r="L277" s="3">
        <v>118255.62</v>
      </c>
    </row>
    <row r="278" spans="1:12">
      <c r="A278" s="3" t="s">
        <v>120</v>
      </c>
      <c r="B278" s="12" t="s">
        <v>1242</v>
      </c>
      <c r="C278" s="3">
        <v>353010.64</v>
      </c>
      <c r="D278" s="3">
        <v>171507.36</v>
      </c>
      <c r="E278" s="3">
        <v>181503.28</v>
      </c>
      <c r="F278" s="3">
        <v>98106.13</v>
      </c>
      <c r="G278" s="2">
        <v>83397.149999999994</v>
      </c>
      <c r="H278" s="22">
        <v>51.42</v>
      </c>
      <c r="I278" s="3">
        <v>23.62</v>
      </c>
      <c r="J278" s="3">
        <v>2618</v>
      </c>
      <c r="K278" s="3">
        <v>3428.23</v>
      </c>
      <c r="L278" s="3">
        <v>20938.68</v>
      </c>
    </row>
    <row r="279" spans="1:12">
      <c r="A279" s="3" t="s">
        <v>190</v>
      </c>
      <c r="B279" s="12" t="s">
        <v>1242</v>
      </c>
      <c r="C279" s="3">
        <v>1385607.28</v>
      </c>
      <c r="D279" s="3">
        <v>684484.88</v>
      </c>
      <c r="E279" s="3">
        <v>701122.4</v>
      </c>
      <c r="F279" s="3">
        <v>174928.57</v>
      </c>
      <c r="G279" s="2">
        <v>526193.82999999996</v>
      </c>
      <c r="H279" s="22">
        <v>50.6</v>
      </c>
      <c r="I279" s="3">
        <v>37.979999999999997</v>
      </c>
      <c r="J279" s="3">
        <v>2190</v>
      </c>
      <c r="K279" s="3">
        <v>2803.15</v>
      </c>
      <c r="L279" s="3">
        <v>6132.95</v>
      </c>
    </row>
    <row r="280" spans="1:12">
      <c r="A280" s="3" t="s">
        <v>167</v>
      </c>
      <c r="B280" s="12" t="s">
        <v>1242</v>
      </c>
      <c r="C280" s="3">
        <v>1780214.15</v>
      </c>
      <c r="D280" s="3">
        <v>859807.62</v>
      </c>
      <c r="E280" s="3">
        <v>920406.53</v>
      </c>
      <c r="F280" s="3">
        <v>83943.96</v>
      </c>
      <c r="G280" s="2">
        <v>836462.57</v>
      </c>
      <c r="H280" s="22">
        <v>51.7</v>
      </c>
      <c r="I280" s="3">
        <v>46.99</v>
      </c>
      <c r="J280" s="3">
        <v>2372</v>
      </c>
      <c r="K280" s="3">
        <v>1685.37</v>
      </c>
      <c r="L280" s="3">
        <v>37086.28</v>
      </c>
    </row>
    <row r="281" spans="1:12">
      <c r="A281" s="3" t="s">
        <v>73</v>
      </c>
      <c r="B281" s="12" t="s">
        <v>1242</v>
      </c>
      <c r="C281" s="3">
        <v>1001478.71</v>
      </c>
      <c r="D281" s="3">
        <v>572106.43999999994</v>
      </c>
      <c r="E281" s="3">
        <v>429372.27</v>
      </c>
      <c r="F281" s="3">
        <v>33336.720000000001</v>
      </c>
      <c r="G281" s="2">
        <v>396035.55</v>
      </c>
      <c r="H281" s="22">
        <v>42.87</v>
      </c>
      <c r="I281" s="3">
        <v>39.549999999999997</v>
      </c>
      <c r="J281" s="3">
        <v>2041</v>
      </c>
      <c r="K281" s="3">
        <v>2172.7199999999998</v>
      </c>
      <c r="L281" s="3">
        <v>16130.89</v>
      </c>
    </row>
    <row r="282" spans="1:12">
      <c r="A282" s="2" t="s">
        <v>107</v>
      </c>
      <c r="B282" s="11" t="s">
        <v>1243</v>
      </c>
      <c r="C282" s="2">
        <v>1190622.5900000001</v>
      </c>
      <c r="D282" s="2">
        <v>548849.06000000006</v>
      </c>
      <c r="E282" s="2">
        <v>641773.53</v>
      </c>
      <c r="F282" s="2">
        <v>59050.45</v>
      </c>
      <c r="G282" s="2">
        <v>582723.07999999996</v>
      </c>
      <c r="H282" s="22">
        <v>53.9</v>
      </c>
      <c r="I282" s="2">
        <v>48.94</v>
      </c>
      <c r="J282" s="2">
        <v>1572</v>
      </c>
      <c r="K282" s="2">
        <v>2109.5700000000002</v>
      </c>
      <c r="L282" s="2">
        <v>62820.14</v>
      </c>
    </row>
    <row r="283" spans="1:12">
      <c r="A283" s="2" t="s">
        <v>84</v>
      </c>
      <c r="B283" s="11" t="s">
        <v>1243</v>
      </c>
      <c r="C283" s="2">
        <v>411771.51</v>
      </c>
      <c r="D283" s="2">
        <v>200668.68</v>
      </c>
      <c r="E283" s="2">
        <v>211102.83</v>
      </c>
      <c r="F283" s="2">
        <v>76518.27</v>
      </c>
      <c r="G283" s="2">
        <v>134584.56</v>
      </c>
      <c r="H283" s="22">
        <v>51.27</v>
      </c>
      <c r="I283" s="2">
        <v>32.68</v>
      </c>
      <c r="J283" s="2">
        <v>262</v>
      </c>
      <c r="K283" s="2">
        <v>3366.55</v>
      </c>
      <c r="L283" s="2">
        <v>18435.04</v>
      </c>
    </row>
    <row r="284" spans="1:12">
      <c r="A284" s="2" t="s">
        <v>66</v>
      </c>
      <c r="B284" s="11" t="s">
        <v>1243</v>
      </c>
      <c r="C284" s="2">
        <v>219410.12</v>
      </c>
      <c r="D284" s="2">
        <v>123639.51</v>
      </c>
      <c r="E284" s="2">
        <v>95770.61</v>
      </c>
      <c r="F284" s="2">
        <v>184029.36</v>
      </c>
      <c r="G284" s="2">
        <v>88258.75</v>
      </c>
      <c r="H284" s="22">
        <v>43.65</v>
      </c>
      <c r="I284" s="2">
        <v>-40.229999999999997</v>
      </c>
      <c r="J284" s="2">
        <v>2550</v>
      </c>
      <c r="K284" s="2">
        <v>2648.21</v>
      </c>
      <c r="L284" s="2">
        <v>7390.02</v>
      </c>
    </row>
    <row r="285" spans="1:12">
      <c r="A285" s="2" t="s">
        <v>130</v>
      </c>
      <c r="B285" s="11" t="s">
        <v>1243</v>
      </c>
      <c r="C285" s="2">
        <v>1495530.26</v>
      </c>
      <c r="D285" s="2">
        <v>894680.57</v>
      </c>
      <c r="E285" s="2">
        <v>600849.68999999994</v>
      </c>
      <c r="F285" s="2">
        <v>113169.53</v>
      </c>
      <c r="G285" s="2">
        <v>487680.16</v>
      </c>
      <c r="H285" s="22">
        <v>40.18</v>
      </c>
      <c r="I285" s="2">
        <v>32.61</v>
      </c>
      <c r="J285" s="2">
        <v>458</v>
      </c>
      <c r="K285" s="2">
        <v>2836.77</v>
      </c>
      <c r="L285" s="2">
        <v>76978.850000000006</v>
      </c>
    </row>
    <row r="286" spans="1:12">
      <c r="A286" s="2" t="s">
        <v>95</v>
      </c>
      <c r="B286" s="11" t="s">
        <v>1243</v>
      </c>
      <c r="C286" s="2">
        <v>1226685.4399999999</v>
      </c>
      <c r="D286" s="2">
        <v>731000.29</v>
      </c>
      <c r="E286" s="2">
        <v>495685.15</v>
      </c>
      <c r="F286" s="2">
        <v>195991.53</v>
      </c>
      <c r="G286" s="2">
        <v>299693.62</v>
      </c>
      <c r="H286" s="22">
        <v>40.409999999999997</v>
      </c>
      <c r="I286" s="2">
        <v>24.43</v>
      </c>
      <c r="J286" s="4">
        <v>1601.1142857142856</v>
      </c>
      <c r="K286" s="2">
        <v>2769.87</v>
      </c>
      <c r="L286" s="2">
        <v>85789.38</v>
      </c>
    </row>
    <row r="287" spans="1:12">
      <c r="A287" s="2" t="s">
        <v>59</v>
      </c>
      <c r="B287" s="11" t="s">
        <v>1243</v>
      </c>
      <c r="C287" s="2">
        <v>1975949.03</v>
      </c>
      <c r="D287" s="2">
        <v>921837.42</v>
      </c>
      <c r="E287" s="2">
        <v>1054111.6100000001</v>
      </c>
      <c r="F287" s="2">
        <v>193216.2</v>
      </c>
      <c r="G287" s="2">
        <v>860895.41</v>
      </c>
      <c r="H287" s="22">
        <v>53.35</v>
      </c>
      <c r="I287" s="2">
        <v>43.57</v>
      </c>
      <c r="J287" s="2">
        <v>1739</v>
      </c>
      <c r="K287" s="2">
        <v>583.03</v>
      </c>
      <c r="L287" s="2">
        <v>64725.87</v>
      </c>
    </row>
    <row r="288" spans="1:12">
      <c r="A288" s="2" t="s">
        <v>120</v>
      </c>
      <c r="B288" s="11" t="s">
        <v>1243</v>
      </c>
      <c r="C288" s="2">
        <v>1806369.74</v>
      </c>
      <c r="D288" s="2">
        <v>889060.51</v>
      </c>
      <c r="E288" s="2">
        <v>917309.23</v>
      </c>
      <c r="F288" s="2">
        <v>91830.7</v>
      </c>
      <c r="G288" s="2">
        <v>825478.53</v>
      </c>
      <c r="H288" s="22">
        <v>50.78</v>
      </c>
      <c r="I288" s="2">
        <v>45.7</v>
      </c>
      <c r="J288" s="2">
        <v>1015</v>
      </c>
      <c r="K288" s="2">
        <v>1383.62</v>
      </c>
      <c r="L288" s="2">
        <v>85977.54</v>
      </c>
    </row>
    <row r="289" spans="1:12">
      <c r="A289" s="2" t="s">
        <v>190</v>
      </c>
      <c r="B289" s="11" t="s">
        <v>1243</v>
      </c>
      <c r="C289" s="2">
        <v>1813709.86</v>
      </c>
      <c r="D289" s="2">
        <v>958502.48</v>
      </c>
      <c r="E289" s="2">
        <v>855207.38</v>
      </c>
      <c r="F289" s="2">
        <v>80656.460000000006</v>
      </c>
      <c r="G289" s="2">
        <v>774550.92</v>
      </c>
      <c r="H289" s="22">
        <v>47.15</v>
      </c>
      <c r="I289" s="2">
        <v>42.71</v>
      </c>
      <c r="J289" s="2">
        <v>460</v>
      </c>
      <c r="K289" s="2">
        <v>3181.84</v>
      </c>
      <c r="L289" s="2">
        <v>59055.39</v>
      </c>
    </row>
    <row r="290" spans="1:12">
      <c r="A290" s="2" t="s">
        <v>167</v>
      </c>
      <c r="B290" s="11" t="s">
        <v>1243</v>
      </c>
      <c r="C290" s="2">
        <v>763885.29</v>
      </c>
      <c r="D290" s="2">
        <v>530616.99</v>
      </c>
      <c r="E290" s="2">
        <v>233268.3</v>
      </c>
      <c r="F290" s="2">
        <v>114865.8</v>
      </c>
      <c r="G290" s="2">
        <v>118402.5</v>
      </c>
      <c r="H290" s="22">
        <v>30.54</v>
      </c>
      <c r="I290" s="2">
        <v>15.5</v>
      </c>
      <c r="J290" s="2">
        <v>1350</v>
      </c>
      <c r="K290" s="2">
        <v>2693.03</v>
      </c>
      <c r="L290" s="2">
        <v>56603.11</v>
      </c>
    </row>
    <row r="291" spans="1:12">
      <c r="A291" s="2" t="s">
        <v>73</v>
      </c>
      <c r="B291" s="11" t="s">
        <v>1243</v>
      </c>
      <c r="C291" s="2">
        <v>1224974.83</v>
      </c>
      <c r="D291" s="2">
        <v>806596.48</v>
      </c>
      <c r="E291" s="2">
        <v>418378.35</v>
      </c>
      <c r="F291" s="2">
        <v>38656.769999999997</v>
      </c>
      <c r="G291" s="2">
        <v>379721.58</v>
      </c>
      <c r="H291" s="22">
        <v>34.15</v>
      </c>
      <c r="I291" s="2">
        <v>31</v>
      </c>
      <c r="J291" s="2">
        <v>232</v>
      </c>
      <c r="K291" s="2">
        <v>628.52</v>
      </c>
      <c r="L291" s="2">
        <v>83065.990000000005</v>
      </c>
    </row>
    <row r="292" spans="1:12">
      <c r="A292" s="3" t="s">
        <v>107</v>
      </c>
      <c r="B292" s="12" t="s">
        <v>1244</v>
      </c>
      <c r="C292" s="3">
        <v>470161.52</v>
      </c>
      <c r="D292" s="3">
        <v>313693.95</v>
      </c>
      <c r="E292" s="3">
        <v>156467.57</v>
      </c>
      <c r="F292" s="3">
        <v>60407.35</v>
      </c>
      <c r="G292" s="2">
        <v>96060.22</v>
      </c>
      <c r="H292" s="22">
        <v>33.28</v>
      </c>
      <c r="I292" s="3">
        <v>20.43</v>
      </c>
      <c r="J292" s="3">
        <v>410</v>
      </c>
      <c r="K292" s="3">
        <v>1642.66</v>
      </c>
      <c r="L292" s="3">
        <v>11641.89</v>
      </c>
    </row>
    <row r="293" spans="1:12">
      <c r="A293" s="3" t="s">
        <v>84</v>
      </c>
      <c r="B293" s="12" t="s">
        <v>1244</v>
      </c>
      <c r="C293" s="3">
        <v>384275.53</v>
      </c>
      <c r="D293" s="3">
        <v>225044.12</v>
      </c>
      <c r="E293" s="3">
        <v>159231.41</v>
      </c>
      <c r="F293" s="3">
        <v>123392.16</v>
      </c>
      <c r="G293" s="2">
        <v>35839.25</v>
      </c>
      <c r="H293" s="22">
        <v>41.44</v>
      </c>
      <c r="I293" s="3">
        <v>9.33</v>
      </c>
      <c r="J293" s="3">
        <v>1310</v>
      </c>
      <c r="K293" s="3">
        <v>752.98</v>
      </c>
      <c r="L293" s="3">
        <v>21653.27</v>
      </c>
    </row>
    <row r="294" spans="1:12">
      <c r="A294" s="3" t="s">
        <v>66</v>
      </c>
      <c r="B294" s="12" t="s">
        <v>1244</v>
      </c>
      <c r="C294" s="3">
        <v>1929046.34</v>
      </c>
      <c r="D294" s="3">
        <v>1253023.25</v>
      </c>
      <c r="E294" s="3">
        <v>676023.09</v>
      </c>
      <c r="F294" s="3">
        <v>79165.440000000002</v>
      </c>
      <c r="G294" s="2">
        <v>596857.65</v>
      </c>
      <c r="H294" s="22">
        <v>35.04</v>
      </c>
      <c r="I294" s="3">
        <v>30.94</v>
      </c>
      <c r="J294" s="3">
        <v>344</v>
      </c>
      <c r="K294" s="3">
        <v>2524.16</v>
      </c>
      <c r="L294" s="3">
        <v>92229.48</v>
      </c>
    </row>
    <row r="295" spans="1:12">
      <c r="A295" s="3" t="s">
        <v>130</v>
      </c>
      <c r="B295" s="12" t="s">
        <v>1244</v>
      </c>
      <c r="C295" s="3">
        <v>1099431.47</v>
      </c>
      <c r="D295" s="3">
        <v>759969.32</v>
      </c>
      <c r="E295" s="3">
        <v>339462.15</v>
      </c>
      <c r="F295" s="3">
        <v>168002.27</v>
      </c>
      <c r="G295" s="2">
        <v>171459.88</v>
      </c>
      <c r="H295" s="22">
        <v>30.88</v>
      </c>
      <c r="I295" s="3">
        <v>15.6</v>
      </c>
      <c r="J295" s="3">
        <v>267</v>
      </c>
      <c r="K295" s="3">
        <v>418.54</v>
      </c>
      <c r="L295" s="3">
        <v>4930.24</v>
      </c>
    </row>
    <row r="296" spans="1:12">
      <c r="A296" s="3" t="s">
        <v>95</v>
      </c>
      <c r="B296" s="12" t="s">
        <v>1244</v>
      </c>
      <c r="C296" s="3">
        <v>929648.67</v>
      </c>
      <c r="D296" s="3">
        <v>601914.68000000005</v>
      </c>
      <c r="E296" s="3">
        <v>327733.99</v>
      </c>
      <c r="F296" s="3">
        <v>92971.48</v>
      </c>
      <c r="G296" s="2">
        <v>234762.51</v>
      </c>
      <c r="H296" s="22">
        <v>35.25</v>
      </c>
      <c r="I296" s="3">
        <v>25.25</v>
      </c>
      <c r="J296" s="3">
        <v>2101</v>
      </c>
      <c r="K296" s="3">
        <v>2552.4899999999998</v>
      </c>
      <c r="L296" s="3">
        <v>101.42</v>
      </c>
    </row>
    <row r="297" spans="1:12">
      <c r="A297" s="3" t="s">
        <v>59</v>
      </c>
      <c r="B297" s="12" t="s">
        <v>1244</v>
      </c>
      <c r="C297" s="3">
        <v>1845938.89</v>
      </c>
      <c r="D297" s="3">
        <v>1021964.39</v>
      </c>
      <c r="E297" s="3">
        <v>823974.5</v>
      </c>
      <c r="F297" s="3">
        <v>124488.35</v>
      </c>
      <c r="G297" s="2">
        <v>699486.15</v>
      </c>
      <c r="H297" s="22">
        <v>44.64</v>
      </c>
      <c r="I297" s="3">
        <v>37.89</v>
      </c>
      <c r="J297" s="3">
        <v>2526</v>
      </c>
      <c r="K297" s="3">
        <v>2716.78</v>
      </c>
      <c r="L297" s="3">
        <v>20220.72</v>
      </c>
    </row>
    <row r="298" spans="1:12">
      <c r="A298" s="3" t="s">
        <v>120</v>
      </c>
      <c r="B298" s="12" t="s">
        <v>1244</v>
      </c>
      <c r="C298" s="3">
        <v>1983190.37</v>
      </c>
      <c r="D298" s="3">
        <v>953300.85</v>
      </c>
      <c r="E298" s="3">
        <v>1029889.52</v>
      </c>
      <c r="F298" s="3">
        <v>172478.55</v>
      </c>
      <c r="G298" s="2">
        <v>857410.97</v>
      </c>
      <c r="H298" s="22">
        <v>51.93</v>
      </c>
      <c r="I298" s="3">
        <v>43.23</v>
      </c>
      <c r="J298" s="3">
        <v>2244</v>
      </c>
      <c r="K298" s="3">
        <v>1191.26</v>
      </c>
      <c r="L298" s="3">
        <v>113199.52</v>
      </c>
    </row>
    <row r="299" spans="1:12">
      <c r="A299" s="3" t="s">
        <v>190</v>
      </c>
      <c r="B299" s="12" t="s">
        <v>1244</v>
      </c>
      <c r="C299" s="3">
        <v>854181.64</v>
      </c>
      <c r="D299" s="3">
        <v>524773.03</v>
      </c>
      <c r="E299" s="3">
        <v>329408.61</v>
      </c>
      <c r="F299" s="3">
        <v>45352.07</v>
      </c>
      <c r="G299" s="2">
        <v>284056.53999999998</v>
      </c>
      <c r="H299" s="22">
        <v>38.56</v>
      </c>
      <c r="I299" s="3">
        <v>33.25</v>
      </c>
      <c r="J299" s="3">
        <v>775</v>
      </c>
      <c r="K299" s="3">
        <v>1055.33</v>
      </c>
      <c r="L299" s="3">
        <v>39017.199999999997</v>
      </c>
    </row>
    <row r="300" spans="1:12">
      <c r="A300" s="3" t="s">
        <v>167</v>
      </c>
      <c r="B300" s="12" t="s">
        <v>1244</v>
      </c>
      <c r="C300" s="3">
        <v>709265.91</v>
      </c>
      <c r="D300" s="3">
        <v>474664.93</v>
      </c>
      <c r="E300" s="3">
        <v>234600.98</v>
      </c>
      <c r="F300" s="3">
        <v>134198.37</v>
      </c>
      <c r="G300" s="2">
        <v>100402.61</v>
      </c>
      <c r="H300" s="22">
        <v>33.08</v>
      </c>
      <c r="I300" s="3">
        <v>14.16</v>
      </c>
      <c r="J300" s="3">
        <v>1280</v>
      </c>
      <c r="K300" s="3">
        <v>1954.31</v>
      </c>
      <c r="L300" s="3">
        <v>24726.45</v>
      </c>
    </row>
    <row r="301" spans="1:12">
      <c r="A301" s="3" t="s">
        <v>73</v>
      </c>
      <c r="B301" s="12" t="s">
        <v>1244</v>
      </c>
      <c r="C301" s="4">
        <f>AVERAGEIFS(C:C, A:A, A2, B:B, B2)</f>
        <v>233070.01</v>
      </c>
      <c r="D301" s="3">
        <v>541302.21</v>
      </c>
      <c r="E301" s="3">
        <v>435916.1</v>
      </c>
      <c r="F301" s="3">
        <v>114269.55</v>
      </c>
      <c r="G301" s="2">
        <v>321646.55</v>
      </c>
      <c r="H301" s="22">
        <v>44.61</v>
      </c>
      <c r="I301" s="3">
        <v>32.909999999999997</v>
      </c>
      <c r="J301" s="3">
        <v>2570</v>
      </c>
      <c r="K301" s="3">
        <v>2206.69</v>
      </c>
      <c r="L301" s="3">
        <v>43334.12</v>
      </c>
    </row>
    <row r="302" spans="1:12">
      <c r="A302" s="2" t="s">
        <v>107</v>
      </c>
      <c r="B302" s="11" t="s">
        <v>1245</v>
      </c>
      <c r="C302" s="2">
        <v>1583534.76</v>
      </c>
      <c r="D302" s="2">
        <v>889257</v>
      </c>
      <c r="E302" s="2">
        <v>694277.76</v>
      </c>
      <c r="F302" s="2">
        <v>136496.98000000001</v>
      </c>
      <c r="G302" s="2">
        <v>557780.78</v>
      </c>
      <c r="H302" s="22">
        <v>43.84</v>
      </c>
      <c r="I302" s="2">
        <v>35.22</v>
      </c>
      <c r="J302" s="2">
        <v>681</v>
      </c>
      <c r="K302" s="2">
        <v>3175.33</v>
      </c>
      <c r="L302" s="2">
        <v>121670.43</v>
      </c>
    </row>
    <row r="303" spans="1:12">
      <c r="A303" s="2" t="s">
        <v>84</v>
      </c>
      <c r="B303" s="11" t="s">
        <v>1245</v>
      </c>
      <c r="C303" s="2">
        <v>709881.85</v>
      </c>
      <c r="D303" s="2">
        <v>362896.05</v>
      </c>
      <c r="E303" s="2">
        <v>346985.8</v>
      </c>
      <c r="F303" s="2">
        <v>42111.29</v>
      </c>
      <c r="G303" s="2">
        <v>304874.51</v>
      </c>
      <c r="H303" s="22">
        <v>48.88</v>
      </c>
      <c r="I303" s="2">
        <v>42.95</v>
      </c>
      <c r="J303" s="2">
        <v>2711</v>
      </c>
      <c r="K303" s="2">
        <v>3155.18</v>
      </c>
      <c r="L303" s="2">
        <v>30699.67</v>
      </c>
    </row>
    <row r="304" spans="1:12">
      <c r="A304" s="2" t="s">
        <v>66</v>
      </c>
      <c r="B304" s="11" t="s">
        <v>1245</v>
      </c>
      <c r="C304" s="2">
        <v>747327.52</v>
      </c>
      <c r="D304" s="2">
        <v>482964.44</v>
      </c>
      <c r="E304" s="2">
        <v>264363.08</v>
      </c>
      <c r="F304" s="2">
        <v>74275.33</v>
      </c>
      <c r="G304" s="2">
        <v>190087.75</v>
      </c>
      <c r="H304" s="22">
        <v>35.369999999999997</v>
      </c>
      <c r="I304" s="2">
        <v>25.44</v>
      </c>
      <c r="J304" s="2">
        <v>2777</v>
      </c>
      <c r="K304" s="2">
        <v>1814.11</v>
      </c>
      <c r="L304" s="2">
        <v>10108.61</v>
      </c>
    </row>
    <row r="305" spans="1:12">
      <c r="A305" s="2" t="s">
        <v>130</v>
      </c>
      <c r="B305" s="11" t="s">
        <v>1245</v>
      </c>
      <c r="C305" s="2">
        <v>1618001.36</v>
      </c>
      <c r="D305" s="2">
        <v>745419.11</v>
      </c>
      <c r="E305" s="2">
        <v>872582.25</v>
      </c>
      <c r="F305" s="2">
        <v>50091.81</v>
      </c>
      <c r="G305" s="2">
        <v>822490.44</v>
      </c>
      <c r="H305" s="22">
        <v>53.93</v>
      </c>
      <c r="I305" s="2">
        <v>50.83</v>
      </c>
      <c r="J305" s="2">
        <v>2878</v>
      </c>
      <c r="K305" s="2">
        <v>2435.41</v>
      </c>
      <c r="L305" s="2">
        <v>59331.51</v>
      </c>
    </row>
    <row r="306" spans="1:12">
      <c r="A306" s="2" t="s">
        <v>95</v>
      </c>
      <c r="B306" s="11" t="s">
        <v>1245</v>
      </c>
      <c r="C306" s="2">
        <v>1329149.04</v>
      </c>
      <c r="D306" s="2">
        <v>726007.55</v>
      </c>
      <c r="E306" s="2">
        <v>603141.49</v>
      </c>
      <c r="F306" s="2">
        <v>147427.60999999999</v>
      </c>
      <c r="G306" s="2">
        <v>455713.88</v>
      </c>
      <c r="H306" s="22">
        <v>45.38</v>
      </c>
      <c r="I306" s="2">
        <v>34.29</v>
      </c>
      <c r="J306" s="2">
        <v>2374</v>
      </c>
      <c r="K306" s="2">
        <v>404.69</v>
      </c>
      <c r="L306" s="2">
        <v>45287.01</v>
      </c>
    </row>
    <row r="307" spans="1:12">
      <c r="A307" s="2" t="s">
        <v>59</v>
      </c>
      <c r="B307" s="11" t="s">
        <v>1245</v>
      </c>
      <c r="C307" s="2">
        <v>534811.55000000005</v>
      </c>
      <c r="D307" s="2">
        <v>291708.89</v>
      </c>
      <c r="E307" s="2">
        <v>243102.66</v>
      </c>
      <c r="F307" s="2">
        <v>124157.38</v>
      </c>
      <c r="G307" s="2">
        <v>118945.28</v>
      </c>
      <c r="H307" s="22">
        <v>45.46</v>
      </c>
      <c r="I307" s="2">
        <v>22.24</v>
      </c>
      <c r="J307" s="2">
        <v>372</v>
      </c>
      <c r="K307" s="2">
        <v>2932.96</v>
      </c>
      <c r="L307" s="2">
        <v>12920.74</v>
      </c>
    </row>
    <row r="308" spans="1:12">
      <c r="A308" s="2" t="s">
        <v>120</v>
      </c>
      <c r="B308" s="11" t="s">
        <v>1245</v>
      </c>
      <c r="C308" s="2">
        <v>1247453.52</v>
      </c>
      <c r="D308" s="2">
        <v>646484.30000000005</v>
      </c>
      <c r="E308" s="2">
        <v>600969.22</v>
      </c>
      <c r="F308" s="2">
        <v>164213.76000000001</v>
      </c>
      <c r="G308" s="2">
        <v>436755.46</v>
      </c>
      <c r="H308" s="22">
        <v>48.18</v>
      </c>
      <c r="I308" s="2">
        <v>35.01</v>
      </c>
      <c r="J308" s="2">
        <v>2837</v>
      </c>
      <c r="K308" s="2">
        <v>3318.32</v>
      </c>
      <c r="L308" s="2">
        <v>35537.19</v>
      </c>
    </row>
    <row r="309" spans="1:12">
      <c r="A309" s="2" t="s">
        <v>190</v>
      </c>
      <c r="B309" s="11" t="s">
        <v>1245</v>
      </c>
      <c r="C309" s="2">
        <v>1100447.3500000001</v>
      </c>
      <c r="D309" s="2">
        <v>528391.52</v>
      </c>
      <c r="E309" s="2">
        <v>572055.82999999996</v>
      </c>
      <c r="F309" s="2">
        <v>142916.91</v>
      </c>
      <c r="G309" s="2">
        <v>429138.92</v>
      </c>
      <c r="H309" s="22">
        <v>51.98</v>
      </c>
      <c r="I309" s="2">
        <v>39</v>
      </c>
      <c r="J309" s="2">
        <v>2577</v>
      </c>
      <c r="K309" s="2">
        <v>3338.96</v>
      </c>
      <c r="L309" s="2">
        <v>82010.23</v>
      </c>
    </row>
    <row r="310" spans="1:12">
      <c r="A310" s="2" t="s">
        <v>167</v>
      </c>
      <c r="B310" s="11" t="s">
        <v>1245</v>
      </c>
      <c r="C310" s="4">
        <f>AVERAGEIFS(C:C, A:A, A2, B:B, B2)</f>
        <v>233070.01</v>
      </c>
      <c r="D310" s="2">
        <v>315187.53000000003</v>
      </c>
      <c r="E310" s="2">
        <v>181783.34</v>
      </c>
      <c r="F310" s="2">
        <v>113516.71</v>
      </c>
      <c r="G310" s="2">
        <v>68266.63</v>
      </c>
      <c r="H310" s="22">
        <v>36.58</v>
      </c>
      <c r="I310" s="2">
        <v>13.74</v>
      </c>
      <c r="J310" s="2">
        <v>819</v>
      </c>
      <c r="K310" s="2">
        <v>2078.16</v>
      </c>
      <c r="L310" s="2">
        <v>36690.480000000003</v>
      </c>
    </row>
    <row r="311" spans="1:12">
      <c r="A311" s="2" t="s">
        <v>73</v>
      </c>
      <c r="B311" s="11" t="s">
        <v>1245</v>
      </c>
      <c r="C311" s="2">
        <v>723394.16</v>
      </c>
      <c r="D311" s="2">
        <v>413690.4</v>
      </c>
      <c r="E311" s="2">
        <v>309703.76</v>
      </c>
      <c r="F311" s="2">
        <v>112637.16</v>
      </c>
      <c r="G311" s="2">
        <v>197066.6</v>
      </c>
      <c r="H311" s="22">
        <v>42.81</v>
      </c>
      <c r="I311" s="2">
        <v>27.24</v>
      </c>
      <c r="J311" s="2">
        <v>2620</v>
      </c>
      <c r="K311" s="2">
        <v>2618.77</v>
      </c>
      <c r="L311" s="2">
        <v>54126.14</v>
      </c>
    </row>
    <row r="312" spans="1:12">
      <c r="A312" s="3" t="s">
        <v>107</v>
      </c>
      <c r="B312" s="12" t="s">
        <v>1246</v>
      </c>
      <c r="C312" s="3">
        <v>206359.22</v>
      </c>
      <c r="D312" s="3">
        <v>132348.26999999999</v>
      </c>
      <c r="E312" s="3">
        <v>74010.95</v>
      </c>
      <c r="F312" s="3">
        <v>32075.32</v>
      </c>
      <c r="G312" s="2">
        <v>41935.629999999997</v>
      </c>
      <c r="H312" s="22">
        <v>35.869999999999997</v>
      </c>
      <c r="I312" s="3">
        <v>20.32</v>
      </c>
      <c r="J312" s="3">
        <v>2238</v>
      </c>
      <c r="K312" s="3">
        <v>3037.32</v>
      </c>
      <c r="L312" s="3">
        <v>8972.52</v>
      </c>
    </row>
    <row r="313" spans="1:12">
      <c r="A313" s="3" t="s">
        <v>84</v>
      </c>
      <c r="B313" s="12" t="s">
        <v>1246</v>
      </c>
      <c r="C313" s="3">
        <v>291307.13</v>
      </c>
      <c r="D313" s="3">
        <v>133199.65</v>
      </c>
      <c r="E313" s="3">
        <v>158107.48000000001</v>
      </c>
      <c r="F313" s="3">
        <v>183559.71</v>
      </c>
      <c r="G313" s="2">
        <v>25452.23</v>
      </c>
      <c r="H313" s="22">
        <v>54.28</v>
      </c>
      <c r="I313" s="3">
        <v>-8.74</v>
      </c>
      <c r="J313" s="3">
        <v>406</v>
      </c>
      <c r="K313" s="3">
        <v>638.97</v>
      </c>
      <c r="L313" s="3">
        <v>1253.78</v>
      </c>
    </row>
    <row r="314" spans="1:12">
      <c r="A314" s="3" t="s">
        <v>66</v>
      </c>
      <c r="B314" s="12" t="s">
        <v>1246</v>
      </c>
      <c r="C314" s="3">
        <v>292915.78999999998</v>
      </c>
      <c r="D314" s="3">
        <v>204335.48</v>
      </c>
      <c r="E314" s="3">
        <v>88580.31</v>
      </c>
      <c r="F314" s="3">
        <v>167512.28</v>
      </c>
      <c r="G314" s="2">
        <v>78931.97</v>
      </c>
      <c r="H314" s="22">
        <v>30.24</v>
      </c>
      <c r="I314" s="3">
        <v>-26.95</v>
      </c>
      <c r="J314" s="3">
        <v>2757</v>
      </c>
      <c r="K314" s="3">
        <v>387.35</v>
      </c>
      <c r="L314" s="3">
        <v>11359.51</v>
      </c>
    </row>
    <row r="315" spans="1:12">
      <c r="A315" s="3" t="s">
        <v>130</v>
      </c>
      <c r="B315" s="12" t="s">
        <v>1246</v>
      </c>
      <c r="C315" s="3">
        <v>1420540.08</v>
      </c>
      <c r="D315" s="3">
        <v>949721.74</v>
      </c>
      <c r="E315" s="3">
        <v>470818.34</v>
      </c>
      <c r="F315" s="3">
        <v>55322.12</v>
      </c>
      <c r="G315" s="2">
        <v>415496.22</v>
      </c>
      <c r="H315" s="22">
        <v>33.14</v>
      </c>
      <c r="I315" s="3">
        <v>29.25</v>
      </c>
      <c r="J315" s="3">
        <v>2573</v>
      </c>
      <c r="K315" s="3">
        <v>1045.55</v>
      </c>
      <c r="L315" s="3">
        <v>8186.11</v>
      </c>
    </row>
    <row r="316" spans="1:12">
      <c r="A316" s="3" t="s">
        <v>95</v>
      </c>
      <c r="B316" s="12" t="s">
        <v>1246</v>
      </c>
      <c r="C316" s="3">
        <v>685620.89</v>
      </c>
      <c r="D316" s="3">
        <v>470695.11</v>
      </c>
      <c r="E316" s="3">
        <v>214925.78</v>
      </c>
      <c r="F316" s="3">
        <v>122213.97</v>
      </c>
      <c r="G316" s="2">
        <v>92711.81</v>
      </c>
      <c r="H316" s="22">
        <v>31.35</v>
      </c>
      <c r="I316" s="3">
        <v>13.52</v>
      </c>
      <c r="J316" s="3">
        <v>1048</v>
      </c>
      <c r="K316" s="3">
        <v>2820.61</v>
      </c>
      <c r="L316" s="3">
        <v>4440.58</v>
      </c>
    </row>
    <row r="317" spans="1:12">
      <c r="A317" s="3" t="s">
        <v>59</v>
      </c>
      <c r="B317" s="12" t="s">
        <v>1246</v>
      </c>
      <c r="C317" s="3">
        <v>1253374.8600000001</v>
      </c>
      <c r="D317" s="3">
        <v>718841.97</v>
      </c>
      <c r="E317" s="3">
        <v>534532.89</v>
      </c>
      <c r="F317" s="3">
        <v>155775.51999999999</v>
      </c>
      <c r="G317" s="2">
        <v>378757.37</v>
      </c>
      <c r="H317" s="22">
        <v>42.65</v>
      </c>
      <c r="I317" s="3">
        <v>30.22</v>
      </c>
      <c r="J317" s="3">
        <v>1119</v>
      </c>
      <c r="K317" s="3">
        <v>385.89</v>
      </c>
      <c r="L317" s="3">
        <v>245.33</v>
      </c>
    </row>
    <row r="318" spans="1:12">
      <c r="A318" s="3" t="s">
        <v>120</v>
      </c>
      <c r="B318" s="12" t="s">
        <v>1246</v>
      </c>
      <c r="C318" s="3">
        <v>1400018.62</v>
      </c>
      <c r="D318" s="3">
        <v>962561.39</v>
      </c>
      <c r="E318" s="3">
        <v>437457.23</v>
      </c>
      <c r="F318" s="3">
        <v>197878.94</v>
      </c>
      <c r="G318" s="2">
        <v>239578.29</v>
      </c>
      <c r="H318" s="22">
        <v>31.25</v>
      </c>
      <c r="I318" s="3">
        <v>17.11</v>
      </c>
      <c r="J318" s="3">
        <v>2294</v>
      </c>
      <c r="K318" s="3">
        <v>1192.45</v>
      </c>
      <c r="L318" s="3">
        <v>86017.09</v>
      </c>
    </row>
    <row r="319" spans="1:12">
      <c r="A319" s="3" t="s">
        <v>190</v>
      </c>
      <c r="B319" s="12" t="s">
        <v>1246</v>
      </c>
      <c r="C319" s="3">
        <v>653254.51</v>
      </c>
      <c r="D319" s="3">
        <v>438426.03</v>
      </c>
      <c r="E319" s="3">
        <v>214828.48</v>
      </c>
      <c r="F319" s="3">
        <v>70473.070000000007</v>
      </c>
      <c r="G319" s="2">
        <v>144355.41</v>
      </c>
      <c r="H319" s="22">
        <v>32.89</v>
      </c>
      <c r="I319" s="3">
        <v>22.1</v>
      </c>
      <c r="J319" s="3">
        <v>700</v>
      </c>
      <c r="K319" s="3">
        <v>2774.21</v>
      </c>
      <c r="L319" s="3">
        <v>16378.94</v>
      </c>
    </row>
    <row r="320" spans="1:12">
      <c r="A320" s="3" t="s">
        <v>167</v>
      </c>
      <c r="B320" s="12" t="s">
        <v>1246</v>
      </c>
      <c r="C320" s="3">
        <v>1345973.95</v>
      </c>
      <c r="D320" s="3">
        <v>753741.91</v>
      </c>
      <c r="E320" s="3">
        <v>592232.04</v>
      </c>
      <c r="F320" s="3">
        <v>62116.39</v>
      </c>
      <c r="G320" s="2">
        <v>530115.65</v>
      </c>
      <c r="H320" s="22">
        <v>44</v>
      </c>
      <c r="I320" s="3">
        <v>39.39</v>
      </c>
      <c r="J320" s="3">
        <v>423</v>
      </c>
      <c r="K320" s="3">
        <v>1035.55</v>
      </c>
      <c r="L320" s="3">
        <v>3861.57</v>
      </c>
    </row>
    <row r="321" spans="1:12">
      <c r="A321" s="3" t="s">
        <v>73</v>
      </c>
      <c r="B321" s="12" t="s">
        <v>1246</v>
      </c>
      <c r="C321" s="3">
        <v>1829131.66</v>
      </c>
      <c r="D321" s="3">
        <v>1219863.54</v>
      </c>
      <c r="E321" s="3">
        <v>609268.12</v>
      </c>
      <c r="F321" s="3">
        <v>69423.98</v>
      </c>
      <c r="G321" s="2">
        <v>539844.14</v>
      </c>
      <c r="H321" s="22">
        <v>33.31</v>
      </c>
      <c r="I321" s="3">
        <v>29.51</v>
      </c>
      <c r="J321" s="3">
        <v>448</v>
      </c>
      <c r="K321" s="3">
        <v>1990.59</v>
      </c>
      <c r="L321" s="3">
        <v>61752.15</v>
      </c>
    </row>
    <row r="322" spans="1:12">
      <c r="A322" s="2" t="s">
        <v>107</v>
      </c>
      <c r="B322" s="11" t="s">
        <v>1247</v>
      </c>
      <c r="C322" s="2">
        <v>210350.99</v>
      </c>
      <c r="D322" s="2">
        <v>141077.29999999999</v>
      </c>
      <c r="E322" s="2">
        <v>69273.69</v>
      </c>
      <c r="F322" s="2">
        <v>70439.320000000007</v>
      </c>
      <c r="G322" s="2">
        <v>1165.6300000000001</v>
      </c>
      <c r="H322" s="22">
        <v>32.93</v>
      </c>
      <c r="I322" s="2">
        <v>-0.55000000000000004</v>
      </c>
      <c r="J322" s="4">
        <v>1463.3333333333333</v>
      </c>
      <c r="K322" s="2">
        <v>2410.31</v>
      </c>
      <c r="L322" s="2">
        <v>7635.55</v>
      </c>
    </row>
    <row r="323" spans="1:12">
      <c r="A323" s="2" t="s">
        <v>84</v>
      </c>
      <c r="B323" s="11" t="s">
        <v>1247</v>
      </c>
      <c r="C323" s="2">
        <v>967638.34</v>
      </c>
      <c r="D323" s="2">
        <v>478734.95</v>
      </c>
      <c r="E323" s="2">
        <v>488903.39</v>
      </c>
      <c r="F323" s="2">
        <v>131340.63</v>
      </c>
      <c r="G323" s="2">
        <v>357562.76</v>
      </c>
      <c r="H323" s="22">
        <v>50.53</v>
      </c>
      <c r="I323" s="2">
        <v>36.950000000000003</v>
      </c>
      <c r="J323" s="2">
        <v>2627</v>
      </c>
      <c r="K323" s="2">
        <v>2314.31</v>
      </c>
      <c r="L323" s="2">
        <v>53423.3</v>
      </c>
    </row>
    <row r="324" spans="1:12">
      <c r="A324" s="2" t="s">
        <v>66</v>
      </c>
      <c r="B324" s="11" t="s">
        <v>1247</v>
      </c>
      <c r="C324" s="2">
        <v>428278.4</v>
      </c>
      <c r="D324" s="2">
        <v>200954.89</v>
      </c>
      <c r="E324" s="2">
        <v>227323.51</v>
      </c>
      <c r="F324" s="2">
        <v>163239.67999999999</v>
      </c>
      <c r="G324" s="2">
        <v>64083.83</v>
      </c>
      <c r="H324" s="22">
        <v>53.08</v>
      </c>
      <c r="I324" s="2">
        <v>14.96</v>
      </c>
      <c r="J324" s="2">
        <v>1232</v>
      </c>
      <c r="K324" s="2">
        <v>724.12</v>
      </c>
      <c r="L324" s="2">
        <v>9626.74</v>
      </c>
    </row>
    <row r="325" spans="1:12">
      <c r="A325" s="2" t="s">
        <v>130</v>
      </c>
      <c r="B325" s="11" t="s">
        <v>1247</v>
      </c>
      <c r="C325" s="2">
        <v>1523827.5</v>
      </c>
      <c r="D325" s="2">
        <v>871970.18</v>
      </c>
      <c r="E325" s="2">
        <v>651857.31999999995</v>
      </c>
      <c r="F325" s="2">
        <v>33240.71</v>
      </c>
      <c r="G325" s="2">
        <v>618616.61</v>
      </c>
      <c r="H325" s="22">
        <v>42.78</v>
      </c>
      <c r="I325" s="2">
        <v>40.6</v>
      </c>
      <c r="J325" s="2">
        <v>2732</v>
      </c>
      <c r="K325" s="2">
        <v>446.57</v>
      </c>
      <c r="L325" s="2">
        <v>85492.43</v>
      </c>
    </row>
    <row r="326" spans="1:12">
      <c r="A326" s="2" t="s">
        <v>95</v>
      </c>
      <c r="B326" s="11" t="s">
        <v>1247</v>
      </c>
      <c r="C326" s="2">
        <v>1785525.05</v>
      </c>
      <c r="D326" s="2">
        <v>1131916.1000000001</v>
      </c>
      <c r="E326" s="2">
        <v>653608.94999999995</v>
      </c>
      <c r="F326" s="2">
        <v>39317.980000000003</v>
      </c>
      <c r="G326" s="2">
        <v>614290.97</v>
      </c>
      <c r="H326" s="22">
        <v>36.61</v>
      </c>
      <c r="I326" s="2">
        <v>34.4</v>
      </c>
      <c r="J326" s="2">
        <v>2963</v>
      </c>
      <c r="K326" s="2">
        <v>1464.77</v>
      </c>
      <c r="L326" s="2">
        <v>7365.3</v>
      </c>
    </row>
    <row r="327" spans="1:12">
      <c r="A327" s="2" t="s">
        <v>59</v>
      </c>
      <c r="B327" s="11" t="s">
        <v>1247</v>
      </c>
      <c r="C327" s="2">
        <v>672818.64</v>
      </c>
      <c r="D327" s="2">
        <v>463576.52</v>
      </c>
      <c r="E327" s="2">
        <v>209242.12</v>
      </c>
      <c r="F327" s="2">
        <v>171821.32</v>
      </c>
      <c r="G327" s="2">
        <v>37420.800000000003</v>
      </c>
      <c r="H327" s="22">
        <v>31.099334584428277</v>
      </c>
      <c r="I327" s="2">
        <v>5.56</v>
      </c>
      <c r="J327" s="2">
        <v>2135</v>
      </c>
      <c r="K327" s="2">
        <v>697.37</v>
      </c>
      <c r="L327" s="2">
        <v>35843.120000000003</v>
      </c>
    </row>
    <row r="328" spans="1:12">
      <c r="A328" s="2" t="s">
        <v>120</v>
      </c>
      <c r="B328" s="11" t="s">
        <v>1247</v>
      </c>
      <c r="C328" s="2">
        <v>394466</v>
      </c>
      <c r="D328" s="2">
        <v>202231.86</v>
      </c>
      <c r="E328" s="2">
        <v>192234.14</v>
      </c>
      <c r="F328" s="2">
        <v>114536.54</v>
      </c>
      <c r="G328" s="2">
        <v>77697.600000000006</v>
      </c>
      <c r="H328" s="22">
        <v>48.73</v>
      </c>
      <c r="I328" s="2">
        <v>19.7</v>
      </c>
      <c r="J328" s="2">
        <v>2773</v>
      </c>
      <c r="K328" s="2">
        <v>3315.69</v>
      </c>
      <c r="L328" s="2">
        <v>937.99</v>
      </c>
    </row>
    <row r="329" spans="1:12">
      <c r="A329" s="2" t="s">
        <v>190</v>
      </c>
      <c r="B329" s="11" t="s">
        <v>1247</v>
      </c>
      <c r="C329" s="2">
        <v>1698201.5</v>
      </c>
      <c r="D329" s="2">
        <v>1077184.6499999999</v>
      </c>
      <c r="E329" s="2">
        <v>621016.85</v>
      </c>
      <c r="F329" s="2">
        <v>166993.07</v>
      </c>
      <c r="G329" s="2">
        <v>454023.78</v>
      </c>
      <c r="H329" s="22">
        <v>36.57</v>
      </c>
      <c r="I329" s="2">
        <v>26.74</v>
      </c>
      <c r="J329" s="2">
        <v>1166</v>
      </c>
      <c r="K329" s="2">
        <v>3293.6</v>
      </c>
      <c r="L329" s="2">
        <v>29617.77</v>
      </c>
    </row>
    <row r="330" spans="1:12">
      <c r="A330" s="2" t="s">
        <v>167</v>
      </c>
      <c r="B330" s="11" t="s">
        <v>1247</v>
      </c>
      <c r="C330" s="2">
        <v>668403.13</v>
      </c>
      <c r="D330" s="2">
        <v>418748.36</v>
      </c>
      <c r="E330" s="2">
        <v>249654.77</v>
      </c>
      <c r="F330" s="2">
        <v>104193.08</v>
      </c>
      <c r="G330" s="2">
        <v>145461.69</v>
      </c>
      <c r="H330" s="22">
        <v>37.35</v>
      </c>
      <c r="I330" s="2">
        <v>21.76</v>
      </c>
      <c r="J330" s="2">
        <v>2227</v>
      </c>
      <c r="K330" s="2">
        <v>430.53</v>
      </c>
      <c r="L330" s="2">
        <v>19063.93</v>
      </c>
    </row>
    <row r="331" spans="1:12">
      <c r="A331" s="2" t="s">
        <v>73</v>
      </c>
      <c r="B331" s="11" t="s">
        <v>1247</v>
      </c>
      <c r="C331" s="2">
        <v>768530.27</v>
      </c>
      <c r="D331" s="2">
        <v>358041.07</v>
      </c>
      <c r="E331" s="2">
        <v>410489.2</v>
      </c>
      <c r="F331" s="2">
        <v>181789.12</v>
      </c>
      <c r="G331" s="2">
        <v>228700.08</v>
      </c>
      <c r="H331" s="22">
        <v>53.41</v>
      </c>
      <c r="I331" s="2">
        <v>29.76</v>
      </c>
      <c r="J331" s="2">
        <v>1908</v>
      </c>
      <c r="K331" s="2">
        <v>3145.25</v>
      </c>
      <c r="L331" s="2">
        <v>7189.8</v>
      </c>
    </row>
    <row r="332" spans="1:12">
      <c r="A332" s="3" t="s">
        <v>107</v>
      </c>
      <c r="B332" s="12" t="s">
        <v>1248</v>
      </c>
      <c r="C332" s="3">
        <v>995375.65</v>
      </c>
      <c r="D332" s="3">
        <v>597528.13</v>
      </c>
      <c r="E332" s="3">
        <v>397847.52</v>
      </c>
      <c r="F332" s="3">
        <v>31117.41</v>
      </c>
      <c r="G332" s="2">
        <v>366730.11</v>
      </c>
      <c r="H332" s="22">
        <v>39.97</v>
      </c>
      <c r="I332" s="3">
        <v>36.840000000000003</v>
      </c>
      <c r="J332" s="3">
        <v>2441</v>
      </c>
      <c r="K332" s="3">
        <v>1189.96</v>
      </c>
      <c r="L332" s="3">
        <v>50058.27</v>
      </c>
    </row>
    <row r="333" spans="1:12">
      <c r="A333" s="3" t="s">
        <v>84</v>
      </c>
      <c r="B333" s="12" t="s">
        <v>1248</v>
      </c>
      <c r="C333" s="3">
        <v>1002505.28</v>
      </c>
      <c r="D333" s="3">
        <v>540256.18999999994</v>
      </c>
      <c r="E333" s="3">
        <v>462249.09</v>
      </c>
      <c r="F333" s="3">
        <v>86496.46</v>
      </c>
      <c r="G333" s="2">
        <v>375752.63</v>
      </c>
      <c r="H333" s="22">
        <v>46.11</v>
      </c>
      <c r="I333" s="3">
        <v>37.479999999999997</v>
      </c>
      <c r="J333" s="3">
        <v>1011</v>
      </c>
      <c r="K333" s="3">
        <v>2581.2800000000002</v>
      </c>
      <c r="L333" s="3">
        <v>53804.08</v>
      </c>
    </row>
    <row r="334" spans="1:12">
      <c r="A334" s="3" t="s">
        <v>66</v>
      </c>
      <c r="B334" s="12" t="s">
        <v>1248</v>
      </c>
      <c r="C334" s="3">
        <v>1744145.09</v>
      </c>
      <c r="D334" s="3">
        <v>791058.32</v>
      </c>
      <c r="E334" s="3">
        <v>953086.77</v>
      </c>
      <c r="F334" s="3">
        <v>48963.4</v>
      </c>
      <c r="G334" s="2">
        <v>904123.37</v>
      </c>
      <c r="H334" s="22">
        <v>54.64</v>
      </c>
      <c r="I334" s="3">
        <v>51.84</v>
      </c>
      <c r="J334" s="3">
        <v>915</v>
      </c>
      <c r="K334" s="3">
        <v>3212.42</v>
      </c>
      <c r="L334" s="3">
        <v>103109.29</v>
      </c>
    </row>
    <row r="335" spans="1:12">
      <c r="A335" s="3" t="s">
        <v>130</v>
      </c>
      <c r="B335" s="12" t="s">
        <v>1248</v>
      </c>
      <c r="C335" s="3">
        <v>434967.92</v>
      </c>
      <c r="D335" s="3">
        <v>214466.26</v>
      </c>
      <c r="E335" s="3">
        <v>220501.66</v>
      </c>
      <c r="F335" s="3">
        <v>38492.86</v>
      </c>
      <c r="G335" s="2">
        <v>182008.8</v>
      </c>
      <c r="H335" s="22">
        <v>50.69</v>
      </c>
      <c r="I335" s="3">
        <v>41.84</v>
      </c>
      <c r="J335" s="3">
        <v>1458</v>
      </c>
      <c r="K335" s="3">
        <v>2926.37</v>
      </c>
      <c r="L335" s="3">
        <v>3385.52</v>
      </c>
    </row>
    <row r="336" spans="1:12">
      <c r="A336" s="3" t="s">
        <v>95</v>
      </c>
      <c r="B336" s="12" t="s">
        <v>1248</v>
      </c>
      <c r="C336" s="3">
        <v>889318.99</v>
      </c>
      <c r="D336" s="3">
        <v>503655.33</v>
      </c>
      <c r="E336" s="3">
        <v>385663.66</v>
      </c>
      <c r="F336" s="3">
        <v>36948.639999999999</v>
      </c>
      <c r="G336" s="2">
        <v>348715.02</v>
      </c>
      <c r="H336" s="22">
        <v>43.37</v>
      </c>
      <c r="I336" s="3">
        <v>39.21</v>
      </c>
      <c r="J336" s="3">
        <v>1700</v>
      </c>
      <c r="K336" s="3">
        <v>860.86</v>
      </c>
      <c r="L336" s="3">
        <v>39755.440000000002</v>
      </c>
    </row>
    <row r="337" spans="1:12">
      <c r="A337" s="3" t="s">
        <v>59</v>
      </c>
      <c r="B337" s="12" t="s">
        <v>1248</v>
      </c>
      <c r="C337" s="4">
        <f>AVERAGEIFS(C:C, A:A, A2, B:B, B2)</f>
        <v>233070.01</v>
      </c>
      <c r="D337" s="3">
        <v>355218.28</v>
      </c>
      <c r="E337" s="3">
        <v>362621.98</v>
      </c>
      <c r="F337" s="3">
        <v>184154.84</v>
      </c>
      <c r="G337" s="2">
        <v>178467.14</v>
      </c>
      <c r="H337" s="22">
        <v>50.52</v>
      </c>
      <c r="I337" s="3">
        <v>24.86</v>
      </c>
      <c r="J337" s="3">
        <v>2841</v>
      </c>
      <c r="K337" s="3">
        <v>1083.2</v>
      </c>
      <c r="L337" s="3">
        <v>6854.21</v>
      </c>
    </row>
    <row r="338" spans="1:12">
      <c r="A338" s="3" t="s">
        <v>120</v>
      </c>
      <c r="B338" s="12" t="s">
        <v>1248</v>
      </c>
      <c r="C338" s="3">
        <v>1528037.04</v>
      </c>
      <c r="D338" s="3">
        <v>1004803.72</v>
      </c>
      <c r="E338" s="3">
        <v>523233.32</v>
      </c>
      <c r="F338" s="3">
        <v>114682.93</v>
      </c>
      <c r="G338" s="2">
        <v>408550.39</v>
      </c>
      <c r="H338" s="22">
        <v>34.24</v>
      </c>
      <c r="I338" s="3">
        <v>26.74</v>
      </c>
      <c r="J338" s="3">
        <v>309</v>
      </c>
      <c r="K338" s="3">
        <v>3410.63</v>
      </c>
      <c r="L338" s="3">
        <v>46774.19</v>
      </c>
    </row>
    <row r="339" spans="1:12">
      <c r="A339" s="3" t="s">
        <v>190</v>
      </c>
      <c r="B339" s="12" t="s">
        <v>1248</v>
      </c>
      <c r="C339" s="3">
        <v>392265.22</v>
      </c>
      <c r="D339" s="3">
        <v>197516.19</v>
      </c>
      <c r="E339" s="3">
        <v>194749.03</v>
      </c>
      <c r="F339" s="3">
        <v>76673.05</v>
      </c>
      <c r="G339" s="2">
        <v>118075.98</v>
      </c>
      <c r="H339" s="22">
        <v>49.647284559156169</v>
      </c>
      <c r="I339" s="3">
        <v>30.1</v>
      </c>
      <c r="J339" s="3">
        <v>1872</v>
      </c>
      <c r="K339" s="3">
        <v>1113.78</v>
      </c>
      <c r="L339" s="3">
        <v>18498.63</v>
      </c>
    </row>
    <row r="340" spans="1:12">
      <c r="A340" s="3" t="s">
        <v>167</v>
      </c>
      <c r="B340" s="12" t="s">
        <v>1248</v>
      </c>
      <c r="C340" s="3">
        <v>1476252.46</v>
      </c>
      <c r="D340" s="3">
        <v>843382.85</v>
      </c>
      <c r="E340" s="3">
        <v>632869.61</v>
      </c>
      <c r="F340" s="3">
        <v>113808.05</v>
      </c>
      <c r="G340" s="2">
        <v>519061.56</v>
      </c>
      <c r="H340" s="22">
        <v>42.87</v>
      </c>
      <c r="I340" s="3">
        <v>35.159999999999997</v>
      </c>
      <c r="J340" s="3">
        <v>806</v>
      </c>
      <c r="K340" s="3">
        <v>695.69</v>
      </c>
      <c r="L340" s="3">
        <v>11051.57</v>
      </c>
    </row>
    <row r="341" spans="1:12">
      <c r="A341" s="3" t="s">
        <v>73</v>
      </c>
      <c r="B341" s="12" t="s">
        <v>1248</v>
      </c>
      <c r="C341" s="3">
        <v>1320854.04</v>
      </c>
      <c r="D341" s="3">
        <v>807761.62</v>
      </c>
      <c r="E341" s="3">
        <v>513092.42</v>
      </c>
      <c r="F341" s="3">
        <v>106215.32</v>
      </c>
      <c r="G341" s="2">
        <v>406877.1</v>
      </c>
      <c r="H341" s="22">
        <v>38.85</v>
      </c>
      <c r="I341" s="3">
        <v>30.8</v>
      </c>
      <c r="J341" s="3">
        <v>1986</v>
      </c>
      <c r="K341" s="3">
        <v>366.58</v>
      </c>
      <c r="L341" s="3">
        <v>30433.62</v>
      </c>
    </row>
    <row r="342" spans="1:12">
      <c r="A342" s="2" t="s">
        <v>107</v>
      </c>
      <c r="B342" s="11" t="s">
        <v>1249</v>
      </c>
      <c r="C342" s="2">
        <v>1676218.5</v>
      </c>
      <c r="D342" s="2">
        <v>841309.82</v>
      </c>
      <c r="E342" s="2">
        <v>834908.68</v>
      </c>
      <c r="F342" s="2">
        <v>61422.8</v>
      </c>
      <c r="G342" s="2">
        <v>773485.88</v>
      </c>
      <c r="H342" s="22">
        <v>49.81</v>
      </c>
      <c r="I342" s="2">
        <v>46.14</v>
      </c>
      <c r="J342" s="2">
        <v>425</v>
      </c>
      <c r="K342" s="2">
        <v>2390.4899999999998</v>
      </c>
      <c r="L342" s="2">
        <v>4924.2</v>
      </c>
    </row>
    <row r="343" spans="1:12">
      <c r="A343" s="2" t="s">
        <v>84</v>
      </c>
      <c r="B343" s="11" t="s">
        <v>1249</v>
      </c>
      <c r="C343" s="2">
        <v>1160272.8700000001</v>
      </c>
      <c r="D343" s="2">
        <v>804556.96</v>
      </c>
      <c r="E343" s="2">
        <v>355715.91</v>
      </c>
      <c r="F343" s="2">
        <v>158476.29999999999</v>
      </c>
      <c r="G343" s="2">
        <v>197239.61</v>
      </c>
      <c r="H343" s="22">
        <v>30.66</v>
      </c>
      <c r="I343" s="2">
        <v>17</v>
      </c>
      <c r="J343" s="2">
        <v>2107</v>
      </c>
      <c r="K343" s="2">
        <v>2116.9299999999998</v>
      </c>
      <c r="L343" s="2">
        <v>8624.65</v>
      </c>
    </row>
    <row r="344" spans="1:12">
      <c r="A344" s="2" t="s">
        <v>66</v>
      </c>
      <c r="B344" s="11" t="s">
        <v>1249</v>
      </c>
      <c r="C344" s="4">
        <f>AVERAGEIFS(C:C, A:A, A2, B:B, B2)</f>
        <v>233070.01</v>
      </c>
      <c r="D344" s="2">
        <v>752084.66</v>
      </c>
      <c r="E344" s="2">
        <v>634395.49</v>
      </c>
      <c r="F344" s="2">
        <v>59817.89</v>
      </c>
      <c r="G344" s="2">
        <v>574577.6</v>
      </c>
      <c r="H344" s="22">
        <v>45.76</v>
      </c>
      <c r="I344" s="2">
        <v>41.44</v>
      </c>
      <c r="J344" s="2">
        <v>1167</v>
      </c>
      <c r="K344" s="2">
        <v>1851.74</v>
      </c>
      <c r="L344" s="2">
        <v>88665.07</v>
      </c>
    </row>
    <row r="345" spans="1:12">
      <c r="A345" s="2" t="s">
        <v>130</v>
      </c>
      <c r="B345" s="11" t="s">
        <v>1249</v>
      </c>
      <c r="C345" s="2">
        <v>1300206.6000000001</v>
      </c>
      <c r="D345" s="2">
        <v>856625.57</v>
      </c>
      <c r="E345" s="2">
        <v>443581.03</v>
      </c>
      <c r="F345" s="2">
        <v>40872.79</v>
      </c>
      <c r="G345" s="2">
        <v>402708.24</v>
      </c>
      <c r="H345" s="22">
        <v>34.119999999999997</v>
      </c>
      <c r="I345" s="2">
        <v>30.97</v>
      </c>
      <c r="J345" s="2">
        <v>635</v>
      </c>
      <c r="K345" s="2">
        <v>665.37</v>
      </c>
      <c r="L345" s="2">
        <v>61887.48</v>
      </c>
    </row>
    <row r="346" spans="1:12">
      <c r="A346" s="2" t="s">
        <v>95</v>
      </c>
      <c r="B346" s="11" t="s">
        <v>1249</v>
      </c>
      <c r="C346" s="2">
        <v>320610.65000000002</v>
      </c>
      <c r="D346" s="2">
        <v>201130.05</v>
      </c>
      <c r="E346" s="2">
        <v>119480.6</v>
      </c>
      <c r="F346" s="2">
        <v>64801.14</v>
      </c>
      <c r="G346" s="2">
        <v>54679.46</v>
      </c>
      <c r="H346" s="22">
        <v>37.270000000000003</v>
      </c>
      <c r="I346" s="2">
        <v>17.05</v>
      </c>
      <c r="J346" s="2">
        <v>1571</v>
      </c>
      <c r="K346" s="2">
        <v>1063.6199999999999</v>
      </c>
      <c r="L346" s="2">
        <v>2912.62</v>
      </c>
    </row>
    <row r="347" spans="1:12">
      <c r="A347" s="2" t="s">
        <v>59</v>
      </c>
      <c r="B347" s="11" t="s">
        <v>1249</v>
      </c>
      <c r="C347" s="2">
        <v>698990.66</v>
      </c>
      <c r="D347" s="2">
        <v>488303.16</v>
      </c>
      <c r="E347" s="2">
        <v>210687.5</v>
      </c>
      <c r="F347" s="2">
        <v>41343.22</v>
      </c>
      <c r="G347" s="2">
        <v>169344.28</v>
      </c>
      <c r="H347" s="22">
        <v>30.14</v>
      </c>
      <c r="I347" s="2">
        <v>24.23</v>
      </c>
      <c r="J347" s="2">
        <v>1681</v>
      </c>
      <c r="K347" s="2">
        <v>2159.41</v>
      </c>
      <c r="L347" s="2">
        <v>31626.51</v>
      </c>
    </row>
    <row r="348" spans="1:12">
      <c r="A348" s="2" t="s">
        <v>120</v>
      </c>
      <c r="B348" s="11" t="s">
        <v>1249</v>
      </c>
      <c r="C348" s="2">
        <v>1422567.85</v>
      </c>
      <c r="D348" s="2">
        <v>694475.09</v>
      </c>
      <c r="E348" s="2">
        <v>728092.76</v>
      </c>
      <c r="F348" s="2">
        <v>135734.35</v>
      </c>
      <c r="G348" s="2">
        <v>592358.41</v>
      </c>
      <c r="H348" s="22">
        <v>51.18</v>
      </c>
      <c r="I348" s="2">
        <v>41.64</v>
      </c>
      <c r="J348" s="2">
        <v>594</v>
      </c>
      <c r="K348" s="2">
        <v>2732.55</v>
      </c>
      <c r="L348" s="2">
        <v>75234.559999999998</v>
      </c>
    </row>
    <row r="349" spans="1:12">
      <c r="A349" s="2" t="s">
        <v>190</v>
      </c>
      <c r="B349" s="11" t="s">
        <v>1249</v>
      </c>
      <c r="C349" s="2">
        <v>1082645.44</v>
      </c>
      <c r="D349" s="2">
        <v>588608.61</v>
      </c>
      <c r="E349" s="2">
        <v>494036.83</v>
      </c>
      <c r="F349" s="2">
        <v>191280.85</v>
      </c>
      <c r="G349" s="2">
        <v>302755.98</v>
      </c>
      <c r="H349" s="22">
        <v>45.63</v>
      </c>
      <c r="I349" s="2">
        <v>27.96</v>
      </c>
      <c r="J349" s="2">
        <v>1496</v>
      </c>
      <c r="K349" s="2">
        <v>2046.38</v>
      </c>
      <c r="L349" s="2">
        <v>41127.89</v>
      </c>
    </row>
    <row r="350" spans="1:12">
      <c r="A350" s="2" t="s">
        <v>167</v>
      </c>
      <c r="B350" s="11" t="s">
        <v>1249</v>
      </c>
      <c r="C350" s="2">
        <v>1762711.6</v>
      </c>
      <c r="D350" s="2">
        <v>872830.87</v>
      </c>
      <c r="E350" s="2">
        <v>889880.73</v>
      </c>
      <c r="F350" s="2">
        <v>58610.15</v>
      </c>
      <c r="G350" s="2">
        <v>831270.58</v>
      </c>
      <c r="H350" s="22">
        <v>50.48</v>
      </c>
      <c r="I350" s="2">
        <v>47.16</v>
      </c>
      <c r="J350" s="2">
        <v>2283</v>
      </c>
      <c r="K350" s="2">
        <v>2932.23</v>
      </c>
      <c r="L350" s="2">
        <v>79427.42</v>
      </c>
    </row>
    <row r="351" spans="1:12">
      <c r="A351" s="2" t="s">
        <v>73</v>
      </c>
      <c r="B351" s="11" t="s">
        <v>1249</v>
      </c>
      <c r="C351" s="2">
        <v>545962.34</v>
      </c>
      <c r="D351" s="2">
        <v>292614.98</v>
      </c>
      <c r="E351" s="2">
        <v>253347.36</v>
      </c>
      <c r="F351" s="2">
        <v>69457.53</v>
      </c>
      <c r="G351" s="2">
        <v>183889.83</v>
      </c>
      <c r="H351" s="22">
        <v>46.4</v>
      </c>
      <c r="I351" s="2">
        <v>33.68</v>
      </c>
      <c r="J351" s="2">
        <v>1099</v>
      </c>
      <c r="K351" s="2">
        <v>2180.5100000000002</v>
      </c>
      <c r="L351" s="2">
        <v>29917.599999999999</v>
      </c>
    </row>
    <row r="352" spans="1:12">
      <c r="A352" s="3" t="s">
        <v>107</v>
      </c>
      <c r="B352" s="12" t="s">
        <v>1250</v>
      </c>
      <c r="C352" s="3">
        <v>1736892.72</v>
      </c>
      <c r="D352" s="3">
        <v>1071227.08</v>
      </c>
      <c r="E352" s="3">
        <v>665665.64</v>
      </c>
      <c r="F352" s="3">
        <v>172462.45</v>
      </c>
      <c r="G352" s="2">
        <v>493203.19</v>
      </c>
      <c r="H352" s="22">
        <v>38.33</v>
      </c>
      <c r="I352" s="3">
        <v>28.4</v>
      </c>
      <c r="J352" s="3">
        <v>1422</v>
      </c>
      <c r="K352" s="3">
        <v>1359.56</v>
      </c>
      <c r="L352" s="3">
        <v>12186.41</v>
      </c>
    </row>
    <row r="353" spans="1:12">
      <c r="A353" s="3" t="s">
        <v>84</v>
      </c>
      <c r="B353" s="12" t="s">
        <v>1250</v>
      </c>
      <c r="C353" s="3">
        <v>1644230.9</v>
      </c>
      <c r="D353" s="3">
        <v>1027068.59</v>
      </c>
      <c r="E353" s="3">
        <v>617162.31000000006</v>
      </c>
      <c r="F353" s="3">
        <v>46534.71</v>
      </c>
      <c r="G353" s="2">
        <v>570627.6</v>
      </c>
      <c r="H353" s="22">
        <v>37.54</v>
      </c>
      <c r="I353" s="3">
        <v>34.700000000000003</v>
      </c>
      <c r="J353" s="3">
        <v>1471</v>
      </c>
      <c r="K353" s="3">
        <v>2490.33</v>
      </c>
      <c r="L353" s="3">
        <v>93420.71</v>
      </c>
    </row>
    <row r="354" spans="1:12">
      <c r="A354" s="3" t="s">
        <v>66</v>
      </c>
      <c r="B354" s="12" t="s">
        <v>1250</v>
      </c>
      <c r="C354" s="3">
        <v>1751625.97</v>
      </c>
      <c r="D354" s="3">
        <v>938367.05</v>
      </c>
      <c r="E354" s="3">
        <v>813258.92</v>
      </c>
      <c r="F354" s="3">
        <v>44348.25</v>
      </c>
      <c r="G354" s="2">
        <v>768910.67</v>
      </c>
      <c r="H354" s="22">
        <v>46.428800093663831</v>
      </c>
      <c r="I354" s="3">
        <v>43.9</v>
      </c>
      <c r="J354" s="3">
        <v>794</v>
      </c>
      <c r="K354" s="3">
        <v>2205.7399999999998</v>
      </c>
      <c r="L354" s="3">
        <v>115148.22</v>
      </c>
    </row>
    <row r="355" spans="1:12">
      <c r="A355" s="3" t="s">
        <v>130</v>
      </c>
      <c r="B355" s="12" t="s">
        <v>1250</v>
      </c>
      <c r="C355" s="3">
        <v>1308131.3500000001</v>
      </c>
      <c r="D355" s="3">
        <v>609298.18999999994</v>
      </c>
      <c r="E355" s="3">
        <v>698833.16</v>
      </c>
      <c r="F355" s="3">
        <v>64448.99</v>
      </c>
      <c r="G355" s="2">
        <v>634384.17000000004</v>
      </c>
      <c r="H355" s="22">
        <v>53.42</v>
      </c>
      <c r="I355" s="3">
        <v>48.5</v>
      </c>
      <c r="J355" s="3">
        <v>1581</v>
      </c>
      <c r="K355" s="3">
        <v>2896.87</v>
      </c>
      <c r="L355" s="3">
        <v>102786.97</v>
      </c>
    </row>
    <row r="356" spans="1:12">
      <c r="A356" s="3" t="s">
        <v>95</v>
      </c>
      <c r="B356" s="12" t="s">
        <v>1250</v>
      </c>
      <c r="C356" s="3">
        <v>1061288.24</v>
      </c>
      <c r="D356" s="3">
        <v>726756.37</v>
      </c>
      <c r="E356" s="3">
        <v>334531.87</v>
      </c>
      <c r="F356" s="3">
        <v>128620.3</v>
      </c>
      <c r="G356" s="2">
        <v>205911.57</v>
      </c>
      <c r="H356" s="22">
        <v>31.52</v>
      </c>
      <c r="I356" s="3">
        <v>19.399999999999999</v>
      </c>
      <c r="J356" s="3">
        <v>1059</v>
      </c>
      <c r="K356" s="3">
        <v>2710.16</v>
      </c>
      <c r="L356" s="3">
        <v>64601.54</v>
      </c>
    </row>
    <row r="357" spans="1:12">
      <c r="A357" s="3" t="s">
        <v>59</v>
      </c>
      <c r="B357" s="12" t="s">
        <v>1250</v>
      </c>
      <c r="C357" s="3">
        <v>1763022.65</v>
      </c>
      <c r="D357" s="3">
        <v>1070153.01</v>
      </c>
      <c r="E357" s="3">
        <v>692869.64</v>
      </c>
      <c r="F357" s="3">
        <v>110926.92</v>
      </c>
      <c r="G357" s="2">
        <v>581942.72</v>
      </c>
      <c r="H357" s="22">
        <v>39.299999999999997</v>
      </c>
      <c r="I357" s="3">
        <v>33.01</v>
      </c>
      <c r="J357" s="3">
        <v>689</v>
      </c>
      <c r="K357" s="3">
        <v>1494.25</v>
      </c>
      <c r="L357" s="3">
        <v>103377.62</v>
      </c>
    </row>
    <row r="358" spans="1:12">
      <c r="A358" s="3" t="s">
        <v>120</v>
      </c>
      <c r="B358" s="12" t="s">
        <v>1250</v>
      </c>
      <c r="C358" s="3">
        <v>1135908.04</v>
      </c>
      <c r="D358" s="3">
        <v>650928.56000000006</v>
      </c>
      <c r="E358" s="3">
        <v>484979.48</v>
      </c>
      <c r="F358" s="3">
        <v>109223.71</v>
      </c>
      <c r="G358" s="2">
        <v>375755.77</v>
      </c>
      <c r="H358" s="22">
        <v>42.7</v>
      </c>
      <c r="I358" s="3">
        <v>33.08</v>
      </c>
      <c r="J358" s="3">
        <v>1402</v>
      </c>
      <c r="K358" s="3">
        <v>2418.6999999999998</v>
      </c>
      <c r="L358" s="3">
        <v>44550.35</v>
      </c>
    </row>
    <row r="359" spans="1:12">
      <c r="A359" s="3" t="s">
        <v>190</v>
      </c>
      <c r="B359" s="12" t="s">
        <v>1250</v>
      </c>
      <c r="C359" s="3">
        <v>643424.04</v>
      </c>
      <c r="D359" s="3">
        <v>334215.96000000002</v>
      </c>
      <c r="E359" s="3">
        <v>309208.08</v>
      </c>
      <c r="F359" s="3">
        <v>163326.45000000001</v>
      </c>
      <c r="G359" s="2">
        <v>145881.63</v>
      </c>
      <c r="H359" s="22">
        <v>48.06</v>
      </c>
      <c r="I359" s="3">
        <v>22.67</v>
      </c>
      <c r="J359" s="3">
        <v>793</v>
      </c>
      <c r="K359" s="3">
        <v>1461.59</v>
      </c>
      <c r="L359" s="3">
        <v>36838.410000000003</v>
      </c>
    </row>
    <row r="360" spans="1:12">
      <c r="A360" s="3" t="s">
        <v>167</v>
      </c>
      <c r="B360" s="12" t="s">
        <v>1250</v>
      </c>
      <c r="C360" s="3">
        <v>1393647.82</v>
      </c>
      <c r="D360" s="3">
        <v>701142.88</v>
      </c>
      <c r="E360" s="3">
        <v>692504.94</v>
      </c>
      <c r="F360" s="3">
        <v>199660.77</v>
      </c>
      <c r="G360" s="2">
        <v>492844.17</v>
      </c>
      <c r="H360" s="22">
        <v>49.69</v>
      </c>
      <c r="I360" s="3">
        <v>35.36</v>
      </c>
      <c r="J360" s="3">
        <v>216</v>
      </c>
      <c r="K360" s="3">
        <v>1983.25</v>
      </c>
      <c r="L360" s="3">
        <v>63638.18</v>
      </c>
    </row>
    <row r="361" spans="1:12">
      <c r="A361" s="3" t="s">
        <v>73</v>
      </c>
      <c r="B361" s="12" t="s">
        <v>1250</v>
      </c>
      <c r="C361" s="3">
        <v>1859124.07</v>
      </c>
      <c r="D361" s="3">
        <v>1233274.95</v>
      </c>
      <c r="E361" s="3">
        <v>625849.12</v>
      </c>
      <c r="F361" s="3">
        <v>151583.85999999999</v>
      </c>
      <c r="G361" s="2">
        <v>474265.26</v>
      </c>
      <c r="H361" s="22">
        <v>33.659999999999997</v>
      </c>
      <c r="I361" s="3">
        <v>25.51</v>
      </c>
      <c r="J361" s="3">
        <v>2118</v>
      </c>
      <c r="K361" s="3">
        <v>719.71</v>
      </c>
      <c r="L361" s="3">
        <v>43636.47</v>
      </c>
    </row>
  </sheetData>
  <autoFilter ref="A1:L361" xr:uid="{00000000-0001-0000-0500-000000000000}"/>
  <sortState xmlns:xlrd2="http://schemas.microsoft.com/office/spreadsheetml/2017/richdata2" ref="A2:L361">
    <sortCondition ref="B2:B361" customList="Jan,Feb,Mar,Apr,May,Jun,Jul,Aug,Sep,Oct,Nov,Dec"/>
  </sortState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5A188-1DBB-44E9-AAC6-CD48F406A3F9}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📋 README</vt:lpstr>
      <vt:lpstr>Sales_transactions</vt:lpstr>
      <vt:lpstr>Customer_Master</vt:lpstr>
      <vt:lpstr>Product_Master</vt:lpstr>
      <vt:lpstr>Store_Master</vt:lpstr>
      <vt:lpstr>Monthly_Profitability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 Shanker</cp:lastModifiedBy>
  <dcterms:created xsi:type="dcterms:W3CDTF">2026-04-10T05:39:00Z</dcterms:created>
  <dcterms:modified xsi:type="dcterms:W3CDTF">2026-04-21T11:32:24Z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ACE1437F74A44B3DACFFDCB63D835790_12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